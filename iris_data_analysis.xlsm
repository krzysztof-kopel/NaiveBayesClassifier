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orbiel\PycharmProjects\NaiveBayesClassifier\"/>
    </mc:Choice>
  </mc:AlternateContent>
  <xr:revisionPtr revIDLastSave="0" documentId="13_ncr:1_{9AA1380F-C98D-4582-AB75-39125CAD1C32}" xr6:coauthVersionLast="47" xr6:coauthVersionMax="47" xr10:uidLastSave="{00000000-0000-0000-0000-000000000000}"/>
  <bookViews>
    <workbookView xWindow="-93" yWindow="-93" windowWidth="25786" windowHeight="13986" xr2:uid="{3A14FC87-649A-4427-BBDA-76B4A039D95E}"/>
  </bookViews>
  <sheets>
    <sheet name="iris" sheetId="2" r:id="rId1"/>
    <sheet name="Arkusz1" sheetId="1" r:id="rId2"/>
  </sheets>
  <definedNames>
    <definedName name="_xlchart.v1.0" hidden="1">iris!$B$1</definedName>
    <definedName name="_xlchart.v1.1" hidden="1">iris!$B$2:$B$151</definedName>
    <definedName name="_xlchart.v1.2" hidden="1">iris!$B$1</definedName>
    <definedName name="_xlchart.v1.3" hidden="1">iris!$B$2:$B$151</definedName>
    <definedName name="_xlchart.v1.4" hidden="1">iris!$F$2:$F$151</definedName>
    <definedName name="_xleta.MIN" hidden="1" xlm="1">#NAME?</definedName>
    <definedName name="ExternalData_1" localSheetId="0" hidden="1">iris!$A$1:$F$151</definedName>
  </definedNames>
  <calcPr calcId="191029"/>
  <pivotCaches>
    <pivotCache cacheId="2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J2" i="2"/>
  <c r="K2" i="2"/>
  <c r="L2" i="2"/>
  <c r="M2" i="2"/>
  <c r="I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17F377-F091-4D7D-A4F8-19F849E1B5D0}" keepAlive="1" name="Zapytanie — iris" description="Połączenie z zapytaniem „iris” w skoroszycie." type="5" refreshedVersion="8" background="1" saveData="1">
    <dbPr connection="Provider=Microsoft.Mashup.OleDb.1;Data Source=$Workbook$;Location=iris;Extended Properties=&quot;&quot;" command="SELECT * FROM [iris]"/>
  </connection>
</connections>
</file>

<file path=xl/sharedStrings.xml><?xml version="1.0" encoding="utf-8"?>
<sst xmlns="http://schemas.openxmlformats.org/spreadsheetml/2006/main" count="222" uniqueCount="23">
  <si>
    <t>Id</t>
  </si>
  <si>
    <t>SepalLengthCm</t>
  </si>
  <si>
    <t>SepalWidthCm</t>
  </si>
  <si>
    <t>PetalLengthCm</t>
  </si>
  <si>
    <t>PetalWidthCm</t>
  </si>
  <si>
    <t>Species</t>
  </si>
  <si>
    <t>Iris-setosa</t>
  </si>
  <si>
    <t>Iris-versicolor</t>
  </si>
  <si>
    <t>Iris-virginica</t>
  </si>
  <si>
    <t>Puste komórki</t>
  </si>
  <si>
    <t>Średnia</t>
  </si>
  <si>
    <t>Mediana</t>
  </si>
  <si>
    <t>Minimum</t>
  </si>
  <si>
    <t>Maksimum</t>
  </si>
  <si>
    <t>Odchylenie Standardowe</t>
  </si>
  <si>
    <t>Liczebność</t>
  </si>
  <si>
    <t>Gatunek</t>
  </si>
  <si>
    <t>Wartości</t>
  </si>
  <si>
    <t>Odchylenie standardowe</t>
  </si>
  <si>
    <t>Wariancja</t>
  </si>
  <si>
    <t>SepalLenghtCm</t>
  </si>
  <si>
    <t>Wszystkie</t>
  </si>
  <si>
    <t>(Wszystko)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</si>
</sst>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ny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rbiel" refreshedDate="45673.912430555552" createdVersion="8" refreshedVersion="8" minRefreshableVersion="3" recordCount="150" xr:uid="{33E3B154-FFD8-4865-A060-01573892D3C0}">
  <cacheSource type="worksheet">
    <worksheetSource name="iris"/>
  </cacheSource>
  <cacheFields count="6">
    <cacheField name="Id" numFmtId="0">
      <sharedItems containsSemiMixedTypes="0" containsString="0" containsNumber="1" containsInteger="1" minValue="1" maxValue="150" count="1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</sharedItems>
    </cacheField>
    <cacheField name="SepalLengthCm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WidthCm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LengthCm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WidthCm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Iris-setosa"/>
        <s v="Iris-versicolor"/>
        <s v="Iris-virginica"/>
      </sharedItems>
    </cacheField>
  </cacheFields>
  <extLst>
    <ext xmlns:x14="http://schemas.microsoft.com/office/spreadsheetml/2009/9/main" uri="{725AE2AE-9491-48be-B2B4-4EB974FC3084}">
      <x14:pivotCacheDefinition pivotCacheId="110060138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  <x v="0"/>
  </r>
  <r>
    <x v="1"/>
    <x v="1"/>
    <x v="1"/>
    <x v="0"/>
    <x v="0"/>
    <x v="0"/>
  </r>
  <r>
    <x v="2"/>
    <x v="2"/>
    <x v="2"/>
    <x v="1"/>
    <x v="0"/>
    <x v="0"/>
  </r>
  <r>
    <x v="3"/>
    <x v="3"/>
    <x v="3"/>
    <x v="2"/>
    <x v="0"/>
    <x v="0"/>
  </r>
  <r>
    <x v="4"/>
    <x v="4"/>
    <x v="4"/>
    <x v="0"/>
    <x v="0"/>
    <x v="0"/>
  </r>
  <r>
    <x v="5"/>
    <x v="5"/>
    <x v="5"/>
    <x v="3"/>
    <x v="1"/>
    <x v="0"/>
  </r>
  <r>
    <x v="6"/>
    <x v="3"/>
    <x v="6"/>
    <x v="0"/>
    <x v="2"/>
    <x v="0"/>
  </r>
  <r>
    <x v="7"/>
    <x v="4"/>
    <x v="6"/>
    <x v="2"/>
    <x v="0"/>
    <x v="0"/>
  </r>
  <r>
    <x v="8"/>
    <x v="6"/>
    <x v="7"/>
    <x v="0"/>
    <x v="0"/>
    <x v="0"/>
  </r>
  <r>
    <x v="9"/>
    <x v="1"/>
    <x v="3"/>
    <x v="2"/>
    <x v="3"/>
    <x v="0"/>
  </r>
  <r>
    <x v="10"/>
    <x v="5"/>
    <x v="8"/>
    <x v="2"/>
    <x v="0"/>
    <x v="0"/>
  </r>
  <r>
    <x v="11"/>
    <x v="7"/>
    <x v="6"/>
    <x v="4"/>
    <x v="0"/>
    <x v="0"/>
  </r>
  <r>
    <x v="12"/>
    <x v="7"/>
    <x v="1"/>
    <x v="0"/>
    <x v="3"/>
    <x v="0"/>
  </r>
  <r>
    <x v="13"/>
    <x v="8"/>
    <x v="1"/>
    <x v="5"/>
    <x v="3"/>
    <x v="0"/>
  </r>
  <r>
    <x v="14"/>
    <x v="9"/>
    <x v="9"/>
    <x v="6"/>
    <x v="0"/>
    <x v="0"/>
  </r>
  <r>
    <x v="15"/>
    <x v="10"/>
    <x v="10"/>
    <x v="2"/>
    <x v="1"/>
    <x v="0"/>
  </r>
  <r>
    <x v="16"/>
    <x v="5"/>
    <x v="5"/>
    <x v="1"/>
    <x v="1"/>
    <x v="0"/>
  </r>
  <r>
    <x v="17"/>
    <x v="0"/>
    <x v="0"/>
    <x v="0"/>
    <x v="2"/>
    <x v="0"/>
  </r>
  <r>
    <x v="18"/>
    <x v="10"/>
    <x v="11"/>
    <x v="3"/>
    <x v="2"/>
    <x v="0"/>
  </r>
  <r>
    <x v="19"/>
    <x v="0"/>
    <x v="11"/>
    <x v="2"/>
    <x v="2"/>
    <x v="0"/>
  </r>
  <r>
    <x v="20"/>
    <x v="5"/>
    <x v="6"/>
    <x v="3"/>
    <x v="0"/>
    <x v="0"/>
  </r>
  <r>
    <x v="21"/>
    <x v="0"/>
    <x v="8"/>
    <x v="2"/>
    <x v="1"/>
    <x v="0"/>
  </r>
  <r>
    <x v="22"/>
    <x v="3"/>
    <x v="4"/>
    <x v="7"/>
    <x v="0"/>
    <x v="0"/>
  </r>
  <r>
    <x v="23"/>
    <x v="0"/>
    <x v="12"/>
    <x v="3"/>
    <x v="4"/>
    <x v="0"/>
  </r>
  <r>
    <x v="24"/>
    <x v="7"/>
    <x v="6"/>
    <x v="8"/>
    <x v="0"/>
    <x v="0"/>
  </r>
  <r>
    <x v="25"/>
    <x v="4"/>
    <x v="1"/>
    <x v="4"/>
    <x v="0"/>
    <x v="0"/>
  </r>
  <r>
    <x v="26"/>
    <x v="4"/>
    <x v="6"/>
    <x v="4"/>
    <x v="1"/>
    <x v="0"/>
  </r>
  <r>
    <x v="27"/>
    <x v="11"/>
    <x v="0"/>
    <x v="2"/>
    <x v="0"/>
    <x v="0"/>
  </r>
  <r>
    <x v="28"/>
    <x v="11"/>
    <x v="6"/>
    <x v="0"/>
    <x v="0"/>
    <x v="0"/>
  </r>
  <r>
    <x v="29"/>
    <x v="2"/>
    <x v="2"/>
    <x v="4"/>
    <x v="0"/>
    <x v="0"/>
  </r>
  <r>
    <x v="30"/>
    <x v="7"/>
    <x v="3"/>
    <x v="4"/>
    <x v="0"/>
    <x v="0"/>
  </r>
  <r>
    <x v="31"/>
    <x v="5"/>
    <x v="6"/>
    <x v="2"/>
    <x v="1"/>
    <x v="0"/>
  </r>
  <r>
    <x v="32"/>
    <x v="11"/>
    <x v="13"/>
    <x v="2"/>
    <x v="3"/>
    <x v="0"/>
  </r>
  <r>
    <x v="33"/>
    <x v="12"/>
    <x v="14"/>
    <x v="0"/>
    <x v="0"/>
    <x v="0"/>
  </r>
  <r>
    <x v="34"/>
    <x v="1"/>
    <x v="3"/>
    <x v="2"/>
    <x v="3"/>
    <x v="0"/>
  </r>
  <r>
    <x v="35"/>
    <x v="4"/>
    <x v="2"/>
    <x v="6"/>
    <x v="0"/>
    <x v="0"/>
  </r>
  <r>
    <x v="36"/>
    <x v="12"/>
    <x v="0"/>
    <x v="1"/>
    <x v="0"/>
    <x v="0"/>
  </r>
  <r>
    <x v="37"/>
    <x v="1"/>
    <x v="3"/>
    <x v="2"/>
    <x v="3"/>
    <x v="0"/>
  </r>
  <r>
    <x v="38"/>
    <x v="6"/>
    <x v="1"/>
    <x v="1"/>
    <x v="0"/>
    <x v="0"/>
  </r>
  <r>
    <x v="39"/>
    <x v="0"/>
    <x v="6"/>
    <x v="2"/>
    <x v="0"/>
    <x v="0"/>
  </r>
  <r>
    <x v="40"/>
    <x v="4"/>
    <x v="0"/>
    <x v="1"/>
    <x v="2"/>
    <x v="0"/>
  </r>
  <r>
    <x v="41"/>
    <x v="13"/>
    <x v="15"/>
    <x v="1"/>
    <x v="2"/>
    <x v="0"/>
  </r>
  <r>
    <x v="42"/>
    <x v="6"/>
    <x v="2"/>
    <x v="1"/>
    <x v="0"/>
    <x v="0"/>
  </r>
  <r>
    <x v="43"/>
    <x v="4"/>
    <x v="0"/>
    <x v="4"/>
    <x v="5"/>
    <x v="0"/>
  </r>
  <r>
    <x v="44"/>
    <x v="0"/>
    <x v="11"/>
    <x v="8"/>
    <x v="1"/>
    <x v="0"/>
  </r>
  <r>
    <x v="45"/>
    <x v="7"/>
    <x v="1"/>
    <x v="0"/>
    <x v="2"/>
    <x v="0"/>
  </r>
  <r>
    <x v="46"/>
    <x v="0"/>
    <x v="11"/>
    <x v="4"/>
    <x v="0"/>
    <x v="0"/>
  </r>
  <r>
    <x v="47"/>
    <x v="3"/>
    <x v="2"/>
    <x v="0"/>
    <x v="0"/>
    <x v="0"/>
  </r>
  <r>
    <x v="48"/>
    <x v="14"/>
    <x v="8"/>
    <x v="2"/>
    <x v="0"/>
    <x v="0"/>
  </r>
  <r>
    <x v="49"/>
    <x v="4"/>
    <x v="12"/>
    <x v="0"/>
    <x v="0"/>
    <x v="0"/>
  </r>
  <r>
    <x v="50"/>
    <x v="15"/>
    <x v="2"/>
    <x v="9"/>
    <x v="6"/>
    <x v="1"/>
  </r>
  <r>
    <x v="51"/>
    <x v="16"/>
    <x v="2"/>
    <x v="10"/>
    <x v="7"/>
    <x v="1"/>
  </r>
  <r>
    <x v="52"/>
    <x v="17"/>
    <x v="3"/>
    <x v="11"/>
    <x v="7"/>
    <x v="1"/>
  </r>
  <r>
    <x v="53"/>
    <x v="12"/>
    <x v="15"/>
    <x v="12"/>
    <x v="8"/>
    <x v="1"/>
  </r>
  <r>
    <x v="54"/>
    <x v="18"/>
    <x v="16"/>
    <x v="13"/>
    <x v="7"/>
    <x v="1"/>
  </r>
  <r>
    <x v="55"/>
    <x v="10"/>
    <x v="16"/>
    <x v="10"/>
    <x v="8"/>
    <x v="1"/>
  </r>
  <r>
    <x v="56"/>
    <x v="19"/>
    <x v="12"/>
    <x v="9"/>
    <x v="9"/>
    <x v="1"/>
  </r>
  <r>
    <x v="57"/>
    <x v="1"/>
    <x v="17"/>
    <x v="14"/>
    <x v="10"/>
    <x v="1"/>
  </r>
  <r>
    <x v="58"/>
    <x v="20"/>
    <x v="7"/>
    <x v="13"/>
    <x v="8"/>
    <x v="1"/>
  </r>
  <r>
    <x v="59"/>
    <x v="11"/>
    <x v="18"/>
    <x v="15"/>
    <x v="6"/>
    <x v="1"/>
  </r>
  <r>
    <x v="60"/>
    <x v="4"/>
    <x v="19"/>
    <x v="16"/>
    <x v="10"/>
    <x v="1"/>
  </r>
  <r>
    <x v="61"/>
    <x v="21"/>
    <x v="1"/>
    <x v="17"/>
    <x v="7"/>
    <x v="1"/>
  </r>
  <r>
    <x v="62"/>
    <x v="22"/>
    <x v="20"/>
    <x v="12"/>
    <x v="10"/>
    <x v="1"/>
  </r>
  <r>
    <x v="63"/>
    <x v="23"/>
    <x v="7"/>
    <x v="9"/>
    <x v="6"/>
    <x v="1"/>
  </r>
  <r>
    <x v="64"/>
    <x v="24"/>
    <x v="7"/>
    <x v="18"/>
    <x v="8"/>
    <x v="1"/>
  </r>
  <r>
    <x v="65"/>
    <x v="25"/>
    <x v="3"/>
    <x v="19"/>
    <x v="6"/>
    <x v="1"/>
  </r>
  <r>
    <x v="66"/>
    <x v="24"/>
    <x v="1"/>
    <x v="10"/>
    <x v="7"/>
    <x v="1"/>
  </r>
  <r>
    <x v="67"/>
    <x v="9"/>
    <x v="18"/>
    <x v="20"/>
    <x v="10"/>
    <x v="1"/>
  </r>
  <r>
    <x v="68"/>
    <x v="26"/>
    <x v="20"/>
    <x v="10"/>
    <x v="7"/>
    <x v="1"/>
  </r>
  <r>
    <x v="69"/>
    <x v="24"/>
    <x v="21"/>
    <x v="15"/>
    <x v="11"/>
    <x v="1"/>
  </r>
  <r>
    <x v="70"/>
    <x v="21"/>
    <x v="2"/>
    <x v="21"/>
    <x v="12"/>
    <x v="1"/>
  </r>
  <r>
    <x v="71"/>
    <x v="23"/>
    <x v="16"/>
    <x v="12"/>
    <x v="8"/>
    <x v="1"/>
  </r>
  <r>
    <x v="72"/>
    <x v="19"/>
    <x v="21"/>
    <x v="11"/>
    <x v="7"/>
    <x v="1"/>
  </r>
  <r>
    <x v="73"/>
    <x v="23"/>
    <x v="16"/>
    <x v="9"/>
    <x v="13"/>
    <x v="1"/>
  </r>
  <r>
    <x v="74"/>
    <x v="16"/>
    <x v="7"/>
    <x v="22"/>
    <x v="8"/>
    <x v="1"/>
  </r>
  <r>
    <x v="75"/>
    <x v="20"/>
    <x v="1"/>
    <x v="19"/>
    <x v="6"/>
    <x v="1"/>
  </r>
  <r>
    <x v="76"/>
    <x v="27"/>
    <x v="16"/>
    <x v="21"/>
    <x v="6"/>
    <x v="1"/>
  </r>
  <r>
    <x v="77"/>
    <x v="25"/>
    <x v="1"/>
    <x v="23"/>
    <x v="14"/>
    <x v="1"/>
  </r>
  <r>
    <x v="78"/>
    <x v="22"/>
    <x v="7"/>
    <x v="10"/>
    <x v="7"/>
    <x v="1"/>
  </r>
  <r>
    <x v="79"/>
    <x v="10"/>
    <x v="22"/>
    <x v="16"/>
    <x v="10"/>
    <x v="1"/>
  </r>
  <r>
    <x v="80"/>
    <x v="12"/>
    <x v="17"/>
    <x v="24"/>
    <x v="11"/>
    <x v="1"/>
  </r>
  <r>
    <x v="81"/>
    <x v="12"/>
    <x v="17"/>
    <x v="25"/>
    <x v="10"/>
    <x v="1"/>
  </r>
  <r>
    <x v="82"/>
    <x v="9"/>
    <x v="18"/>
    <x v="15"/>
    <x v="13"/>
    <x v="1"/>
  </r>
  <r>
    <x v="83"/>
    <x v="22"/>
    <x v="18"/>
    <x v="26"/>
    <x v="9"/>
    <x v="1"/>
  </r>
  <r>
    <x v="84"/>
    <x v="5"/>
    <x v="1"/>
    <x v="10"/>
    <x v="7"/>
    <x v="1"/>
  </r>
  <r>
    <x v="85"/>
    <x v="22"/>
    <x v="6"/>
    <x v="10"/>
    <x v="9"/>
    <x v="1"/>
  </r>
  <r>
    <x v="86"/>
    <x v="25"/>
    <x v="3"/>
    <x v="9"/>
    <x v="7"/>
    <x v="1"/>
  </r>
  <r>
    <x v="87"/>
    <x v="19"/>
    <x v="15"/>
    <x v="19"/>
    <x v="8"/>
    <x v="1"/>
  </r>
  <r>
    <x v="88"/>
    <x v="24"/>
    <x v="1"/>
    <x v="20"/>
    <x v="8"/>
    <x v="1"/>
  </r>
  <r>
    <x v="89"/>
    <x v="12"/>
    <x v="21"/>
    <x v="12"/>
    <x v="8"/>
    <x v="1"/>
  </r>
  <r>
    <x v="90"/>
    <x v="12"/>
    <x v="22"/>
    <x v="19"/>
    <x v="13"/>
    <x v="1"/>
  </r>
  <r>
    <x v="91"/>
    <x v="23"/>
    <x v="1"/>
    <x v="13"/>
    <x v="6"/>
    <x v="1"/>
  </r>
  <r>
    <x v="92"/>
    <x v="9"/>
    <x v="22"/>
    <x v="12"/>
    <x v="13"/>
    <x v="1"/>
  </r>
  <r>
    <x v="93"/>
    <x v="4"/>
    <x v="15"/>
    <x v="14"/>
    <x v="10"/>
    <x v="1"/>
  </r>
  <r>
    <x v="94"/>
    <x v="24"/>
    <x v="18"/>
    <x v="17"/>
    <x v="8"/>
    <x v="1"/>
  </r>
  <r>
    <x v="95"/>
    <x v="10"/>
    <x v="1"/>
    <x v="17"/>
    <x v="13"/>
    <x v="1"/>
  </r>
  <r>
    <x v="96"/>
    <x v="10"/>
    <x v="7"/>
    <x v="17"/>
    <x v="8"/>
    <x v="1"/>
  </r>
  <r>
    <x v="97"/>
    <x v="26"/>
    <x v="7"/>
    <x v="22"/>
    <x v="8"/>
    <x v="1"/>
  </r>
  <r>
    <x v="98"/>
    <x v="0"/>
    <x v="21"/>
    <x v="27"/>
    <x v="11"/>
    <x v="1"/>
  </r>
  <r>
    <x v="99"/>
    <x v="10"/>
    <x v="16"/>
    <x v="20"/>
    <x v="8"/>
    <x v="1"/>
  </r>
  <r>
    <x v="100"/>
    <x v="19"/>
    <x v="12"/>
    <x v="28"/>
    <x v="15"/>
    <x v="2"/>
  </r>
  <r>
    <x v="101"/>
    <x v="9"/>
    <x v="18"/>
    <x v="26"/>
    <x v="16"/>
    <x v="2"/>
  </r>
  <r>
    <x v="102"/>
    <x v="28"/>
    <x v="1"/>
    <x v="29"/>
    <x v="17"/>
    <x v="2"/>
  </r>
  <r>
    <x v="103"/>
    <x v="19"/>
    <x v="7"/>
    <x v="30"/>
    <x v="12"/>
    <x v="2"/>
  </r>
  <r>
    <x v="104"/>
    <x v="18"/>
    <x v="1"/>
    <x v="31"/>
    <x v="18"/>
    <x v="2"/>
  </r>
  <r>
    <x v="105"/>
    <x v="29"/>
    <x v="1"/>
    <x v="32"/>
    <x v="17"/>
    <x v="2"/>
  </r>
  <r>
    <x v="106"/>
    <x v="1"/>
    <x v="21"/>
    <x v="10"/>
    <x v="14"/>
    <x v="2"/>
  </r>
  <r>
    <x v="107"/>
    <x v="30"/>
    <x v="7"/>
    <x v="33"/>
    <x v="12"/>
    <x v="2"/>
  </r>
  <r>
    <x v="108"/>
    <x v="25"/>
    <x v="21"/>
    <x v="31"/>
    <x v="12"/>
    <x v="2"/>
  </r>
  <r>
    <x v="109"/>
    <x v="31"/>
    <x v="4"/>
    <x v="34"/>
    <x v="15"/>
    <x v="2"/>
  </r>
  <r>
    <x v="110"/>
    <x v="18"/>
    <x v="2"/>
    <x v="26"/>
    <x v="19"/>
    <x v="2"/>
  </r>
  <r>
    <x v="111"/>
    <x v="16"/>
    <x v="18"/>
    <x v="35"/>
    <x v="16"/>
    <x v="2"/>
  </r>
  <r>
    <x v="112"/>
    <x v="27"/>
    <x v="1"/>
    <x v="36"/>
    <x v="17"/>
    <x v="2"/>
  </r>
  <r>
    <x v="113"/>
    <x v="10"/>
    <x v="21"/>
    <x v="23"/>
    <x v="19"/>
    <x v="2"/>
  </r>
  <r>
    <x v="114"/>
    <x v="9"/>
    <x v="16"/>
    <x v="26"/>
    <x v="20"/>
    <x v="2"/>
  </r>
  <r>
    <x v="115"/>
    <x v="16"/>
    <x v="2"/>
    <x v="35"/>
    <x v="21"/>
    <x v="2"/>
  </r>
  <r>
    <x v="116"/>
    <x v="18"/>
    <x v="1"/>
    <x v="36"/>
    <x v="12"/>
    <x v="2"/>
  </r>
  <r>
    <x v="117"/>
    <x v="32"/>
    <x v="11"/>
    <x v="37"/>
    <x v="18"/>
    <x v="2"/>
  </r>
  <r>
    <x v="118"/>
    <x v="32"/>
    <x v="22"/>
    <x v="38"/>
    <x v="21"/>
    <x v="2"/>
  </r>
  <r>
    <x v="119"/>
    <x v="22"/>
    <x v="20"/>
    <x v="23"/>
    <x v="7"/>
    <x v="2"/>
  </r>
  <r>
    <x v="120"/>
    <x v="17"/>
    <x v="2"/>
    <x v="39"/>
    <x v="21"/>
    <x v="2"/>
  </r>
  <r>
    <x v="121"/>
    <x v="24"/>
    <x v="16"/>
    <x v="11"/>
    <x v="19"/>
    <x v="2"/>
  </r>
  <r>
    <x v="122"/>
    <x v="32"/>
    <x v="16"/>
    <x v="37"/>
    <x v="19"/>
    <x v="2"/>
  </r>
  <r>
    <x v="123"/>
    <x v="19"/>
    <x v="18"/>
    <x v="11"/>
    <x v="12"/>
    <x v="2"/>
  </r>
  <r>
    <x v="124"/>
    <x v="25"/>
    <x v="12"/>
    <x v="39"/>
    <x v="17"/>
    <x v="2"/>
  </r>
  <r>
    <x v="125"/>
    <x v="31"/>
    <x v="2"/>
    <x v="28"/>
    <x v="12"/>
    <x v="2"/>
  </r>
  <r>
    <x v="126"/>
    <x v="26"/>
    <x v="16"/>
    <x v="21"/>
    <x v="12"/>
    <x v="2"/>
  </r>
  <r>
    <x v="127"/>
    <x v="23"/>
    <x v="1"/>
    <x v="11"/>
    <x v="12"/>
    <x v="2"/>
  </r>
  <r>
    <x v="128"/>
    <x v="16"/>
    <x v="16"/>
    <x v="30"/>
    <x v="17"/>
    <x v="2"/>
  </r>
  <r>
    <x v="129"/>
    <x v="31"/>
    <x v="1"/>
    <x v="31"/>
    <x v="9"/>
    <x v="2"/>
  </r>
  <r>
    <x v="130"/>
    <x v="33"/>
    <x v="16"/>
    <x v="34"/>
    <x v="16"/>
    <x v="2"/>
  </r>
  <r>
    <x v="131"/>
    <x v="34"/>
    <x v="11"/>
    <x v="40"/>
    <x v="19"/>
    <x v="2"/>
  </r>
  <r>
    <x v="132"/>
    <x v="16"/>
    <x v="16"/>
    <x v="30"/>
    <x v="18"/>
    <x v="2"/>
  </r>
  <r>
    <x v="133"/>
    <x v="19"/>
    <x v="16"/>
    <x v="26"/>
    <x v="7"/>
    <x v="2"/>
  </r>
  <r>
    <x v="134"/>
    <x v="23"/>
    <x v="22"/>
    <x v="30"/>
    <x v="6"/>
    <x v="2"/>
  </r>
  <r>
    <x v="135"/>
    <x v="32"/>
    <x v="1"/>
    <x v="34"/>
    <x v="21"/>
    <x v="2"/>
  </r>
  <r>
    <x v="136"/>
    <x v="19"/>
    <x v="6"/>
    <x v="30"/>
    <x v="20"/>
    <x v="2"/>
  </r>
  <r>
    <x v="137"/>
    <x v="16"/>
    <x v="3"/>
    <x v="36"/>
    <x v="12"/>
    <x v="2"/>
  </r>
  <r>
    <x v="138"/>
    <x v="22"/>
    <x v="1"/>
    <x v="21"/>
    <x v="12"/>
    <x v="2"/>
  </r>
  <r>
    <x v="139"/>
    <x v="17"/>
    <x v="3"/>
    <x v="41"/>
    <x v="17"/>
    <x v="2"/>
  </r>
  <r>
    <x v="140"/>
    <x v="25"/>
    <x v="3"/>
    <x v="30"/>
    <x v="20"/>
    <x v="2"/>
  </r>
  <r>
    <x v="141"/>
    <x v="17"/>
    <x v="3"/>
    <x v="26"/>
    <x v="21"/>
    <x v="2"/>
  </r>
  <r>
    <x v="142"/>
    <x v="9"/>
    <x v="18"/>
    <x v="26"/>
    <x v="16"/>
    <x v="2"/>
  </r>
  <r>
    <x v="143"/>
    <x v="27"/>
    <x v="2"/>
    <x v="29"/>
    <x v="21"/>
    <x v="2"/>
  </r>
  <r>
    <x v="144"/>
    <x v="25"/>
    <x v="12"/>
    <x v="39"/>
    <x v="15"/>
    <x v="2"/>
  </r>
  <r>
    <x v="145"/>
    <x v="25"/>
    <x v="1"/>
    <x v="42"/>
    <x v="21"/>
    <x v="2"/>
  </r>
  <r>
    <x v="146"/>
    <x v="19"/>
    <x v="21"/>
    <x v="23"/>
    <x v="16"/>
    <x v="2"/>
  </r>
  <r>
    <x v="147"/>
    <x v="18"/>
    <x v="1"/>
    <x v="42"/>
    <x v="19"/>
    <x v="2"/>
  </r>
  <r>
    <x v="148"/>
    <x v="26"/>
    <x v="6"/>
    <x v="41"/>
    <x v="21"/>
    <x v="2"/>
  </r>
  <r>
    <x v="149"/>
    <x v="21"/>
    <x v="1"/>
    <x v="26"/>
    <x v="1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4E5658-D58C-424A-BCF9-3C6EC41DC103}" name="Tabela przestawna24" cacheId="26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2">
  <location ref="O37" firstHeaderRow="0" firstDataRow="0" firstDataCol="0" rowPageCount="1" colPageCount="1"/>
  <pivotFields count="6">
    <pivotField showAll="0"/>
    <pivotField showAll="0"/>
    <pivotField showAll="0"/>
    <pivotField showAll="0"/>
    <pivotField showAll="0">
      <items count="23">
        <item x="3"/>
        <item x="0"/>
        <item x="2"/>
        <item x="1"/>
        <item x="4"/>
        <item x="5"/>
        <item x="10"/>
        <item x="11"/>
        <item x="13"/>
        <item x="8"/>
        <item x="6"/>
        <item x="7"/>
        <item x="9"/>
        <item x="14"/>
        <item x="12"/>
        <item x="16"/>
        <item x="19"/>
        <item x="17"/>
        <item x="18"/>
        <item x="21"/>
        <item x="20"/>
        <item x="15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9249-44ED-4EA7-8A19-74B0EF2D5F33}" name="Tabela przestawna21" cacheId="26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U22:Y28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showAll="0"/>
    <pivotField dataField="1" showAll="0">
      <items count="23">
        <item x="3"/>
        <item x="0"/>
        <item x="2"/>
        <item x="1"/>
        <item x="4"/>
        <item x="5"/>
        <item x="10"/>
        <item x="11"/>
        <item x="13"/>
        <item x="8"/>
        <item x="6"/>
        <item x="7"/>
        <item x="9"/>
        <item x="14"/>
        <item x="12"/>
        <item x="16"/>
        <item x="19"/>
        <item x="17"/>
        <item x="18"/>
        <item x="21"/>
        <item x="20"/>
        <item x="15"/>
        <item t="default"/>
      </items>
    </pivotField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4" subtotal="average" baseField="5" baseItem="1" numFmtId="2"/>
    <dataField name="Maksimum" fld="4" subtotal="max" baseField="5" baseItem="1" numFmtId="2"/>
    <dataField name="Minimum" fld="4" subtotal="min" baseField="5" baseItem="1" numFmtId="2"/>
    <dataField name="Odchylenie standardowe" fld="4" subtotal="stdDev" baseField="5" baseItem="1" numFmtId="2"/>
    <dataField name="Wariancja" fld="4" subtotal="varp" baseField="5" baseItem="1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7C774-5A4E-4B90-B1C4-BF920C1EE227}" name="Tabela przestawna20" cacheId="26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U13:Y19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dataField="1"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3" subtotal="average" baseField="5" baseItem="0" numFmtId="2"/>
    <dataField name="Maksimum" fld="3" subtotal="max" baseField="5" baseItem="0" numFmtId="2"/>
    <dataField name="Minimum" fld="3" subtotal="min" baseField="5" baseItem="0" numFmtId="2"/>
    <dataField name="Odchylenie standardowe" fld="3" subtotal="stdDev" baseField="5" baseItem="0" numFmtId="2"/>
    <dataField name="Wariancja" fld="3" subtotal="varp" baseField="5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CA85B-4FB7-48CF-8953-C1771E4035B6}" name="Tabela przestawna17" cacheId="26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O22:S28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dataField="1"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2" subtotal="average" baseField="5" baseItem="0" numFmtId="2"/>
    <dataField name="Maksimum" fld="2" subtotal="max" baseField="5" baseItem="0" numFmtId="2"/>
    <dataField name="Minimum" fld="2" subtotal="min" baseField="5" baseItem="0" numFmtId="2"/>
    <dataField name="Odchylenie standardowe" fld="2" subtotal="stdDev" baseField="5" baseItem="0" numFmtId="2"/>
    <dataField name="Wariancja" fld="2" subtotal="varp" baseField="5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0D60A-3E2B-452C-8B0C-CE4A861B4ECC}" name="Tabela przestawna2" cacheId="26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O13:S19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dataField="1"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1" subtotal="average" baseField="5" baseItem="0" numFmtId="2"/>
    <dataField name="Maksimum" fld="1" subtotal="max" baseField="5" baseItem="0" numFmtId="2"/>
    <dataField name="Minimum" fld="1" subtotal="min" baseField="5" baseItem="0" numFmtId="2"/>
    <dataField name="Odchylenie standardowe" fld="1" subtotal="stdDev" baseField="5" baseItem="0" numFmtId="2"/>
    <dataField name="Wariancja" fld="1" subtotal="varp" baseField="5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7C2D8-96CB-48C5-9743-4312835A87A7}" name="Tabela przestawna1" cacheId="26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rowHeaderCaption="Gatunek">
  <location ref="O1:P4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5"/>
  </rowFields>
  <rowItems count="3">
    <i>
      <x/>
    </i>
    <i>
      <x v="1"/>
    </i>
    <i>
      <x v="2"/>
    </i>
  </rowItems>
  <colItems count="1">
    <i/>
  </colItems>
  <dataFields count="1">
    <dataField name="Liczebność" fld="0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E416C50-EA64-44B4-B36D-D90B2DB801A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epalLengthCm" tableColumnId="2"/>
      <queryTableField id="3" name="SepalWidthCm" tableColumnId="3"/>
      <queryTableField id="4" name="PetalLengthCm" tableColumnId="4"/>
      <queryTableField id="5" name="PetalWidthCm" tableColumnId="5"/>
      <queryTableField id="6" name="Specie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AFEA98-6097-4295-873A-1A5E36D68971}" name="iris" displayName="iris" ref="A1:F151" tableType="queryTable" totalsRowShown="0">
  <autoFilter ref="A1:F151" xr:uid="{5CAFEA98-6097-4295-873A-1A5E36D68971}"/>
  <tableColumns count="6">
    <tableColumn id="1" xr3:uid="{711C3767-4AA9-4E5C-BCF3-75C0402F57F5}" uniqueName="1" name="Id" queryTableFieldId="1"/>
    <tableColumn id="2" xr3:uid="{A821A5EF-C330-4A63-92FB-276D4B6032E0}" uniqueName="2" name="SepalLengthCm" queryTableFieldId="2"/>
    <tableColumn id="3" xr3:uid="{A381DAE3-5B43-468B-8230-56CFA11D4D05}" uniqueName="3" name="SepalWidthCm" queryTableFieldId="3"/>
    <tableColumn id="4" xr3:uid="{320194BB-6AC6-492F-95F8-9F89B42F4D4C}" uniqueName="4" name="PetalLengthCm" queryTableFieldId="4"/>
    <tableColumn id="5" xr3:uid="{80D8CD60-6F1E-4665-8C74-7B9300D84B40}" uniqueName="5" name="PetalWidthCm" queryTableFieldId="5"/>
    <tableColumn id="6" xr3:uid="{94CA1A5F-4B74-4E31-BCD0-B16BA3A3006D}" uniqueName="6" name="Species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20B3-C1CA-4DD0-9BC1-19F2BC5D3B9B}">
  <dimension ref="A1:Y151"/>
  <sheetViews>
    <sheetView tabSelected="1" workbookViewId="0">
      <selection activeCell="I20" sqref="I20"/>
    </sheetView>
  </sheetViews>
  <sheetFormatPr defaultRowHeight="14.35" x14ac:dyDescent="0.5"/>
  <cols>
    <col min="1" max="1" width="6.5859375" customWidth="1"/>
    <col min="2" max="2" width="15.76171875" bestFit="1" customWidth="1"/>
    <col min="3" max="3" width="15.1171875" bestFit="1" customWidth="1"/>
    <col min="4" max="4" width="15.41015625" bestFit="1" customWidth="1"/>
    <col min="5" max="5" width="14.703125" bestFit="1" customWidth="1"/>
    <col min="6" max="6" width="11.3515625" bestFit="1" customWidth="1"/>
    <col min="8" max="8" width="20.3515625" bestFit="1" customWidth="1"/>
    <col min="9" max="9" width="13.234375" bestFit="1" customWidth="1"/>
    <col min="10" max="10" width="12.46875" bestFit="1" customWidth="1"/>
    <col min="11" max="11" width="12.8203125" bestFit="1" customWidth="1"/>
    <col min="12" max="12" width="12.05859375" bestFit="1" customWidth="1"/>
    <col min="13" max="13" width="6.87890625" bestFit="1" customWidth="1"/>
    <col min="15" max="15" width="20.234375" bestFit="1" customWidth="1"/>
    <col min="16" max="16" width="11.52734375" bestFit="1" customWidth="1"/>
    <col min="17" max="17" width="11.87890625" bestFit="1" customWidth="1"/>
    <col min="18" max="18" width="10.5859375" bestFit="1" customWidth="1"/>
    <col min="19" max="19" width="8.9375" bestFit="1" customWidth="1"/>
    <col min="20" max="20" width="9.05859375" customWidth="1"/>
    <col min="21" max="21" width="20.234375" bestFit="1" customWidth="1"/>
    <col min="22" max="22" width="9.703125" bestFit="1" customWidth="1"/>
    <col min="23" max="23" width="11.87890625" bestFit="1" customWidth="1"/>
    <col min="24" max="24" width="10.5859375" bestFit="1" customWidth="1"/>
    <col min="25" max="25" width="8.9375" bestFit="1" customWidth="1"/>
    <col min="26" max="29" width="20.703125" bestFit="1" customWidth="1"/>
    <col min="30" max="30" width="13.29296875" bestFit="1" customWidth="1"/>
    <col min="31" max="31" width="16" bestFit="1" customWidth="1"/>
    <col min="32" max="32" width="14.703125" bestFit="1" customWidth="1"/>
    <col min="33" max="33" width="27.17578125" bestFit="1" customWidth="1"/>
    <col min="34" max="34" width="15.17578125" bestFit="1" customWidth="1"/>
    <col min="35" max="37" width="4.29296875" bestFit="1" customWidth="1"/>
    <col min="38" max="38" width="8.46875" bestFit="1" customWidth="1"/>
    <col min="39" max="40" width="4.29296875" bestFit="1" customWidth="1"/>
    <col min="41" max="42" width="8.46875" bestFit="1" customWidth="1"/>
    <col min="43" max="44" width="8.64453125" bestFit="1" customWidth="1"/>
    <col min="45" max="45" width="4.29296875" bestFit="1" customWidth="1"/>
    <col min="46" max="48" width="8.64453125" bestFit="1" customWidth="1"/>
    <col min="49" max="49" width="4.29296875" bestFit="1" customWidth="1"/>
    <col min="50" max="50" width="8.64453125" bestFit="1" customWidth="1"/>
    <col min="51" max="51" width="12.87890625" bestFit="1" customWidth="1"/>
    <col min="52" max="85" width="4.29296875" bestFit="1" customWidth="1"/>
    <col min="86" max="86" width="8.29296875" bestFit="1" customWidth="1"/>
    <col min="87" max="120" width="4.29296875" bestFit="1" customWidth="1"/>
    <col min="121" max="121" width="20.703125" bestFit="1" customWidth="1"/>
    <col min="122" max="122" width="4.29296875" bestFit="1" customWidth="1"/>
    <col min="123" max="123" width="8.64453125" bestFit="1" customWidth="1"/>
    <col min="124" max="126" width="4.29296875" bestFit="1" customWidth="1"/>
    <col min="127" max="127" width="8.46875" bestFit="1" customWidth="1"/>
    <col min="128" max="128" width="4.29296875" bestFit="1" customWidth="1"/>
    <col min="129" max="130" width="8.46875" bestFit="1" customWidth="1"/>
    <col min="131" max="131" width="8.64453125" bestFit="1" customWidth="1"/>
    <col min="132" max="132" width="8.46875" bestFit="1" customWidth="1"/>
    <col min="133" max="133" width="4.29296875" bestFit="1" customWidth="1"/>
    <col min="134" max="137" width="8.46875" bestFit="1" customWidth="1"/>
    <col min="138" max="142" width="4.29296875" bestFit="1" customWidth="1"/>
    <col min="143" max="143" width="8.46875" bestFit="1" customWidth="1"/>
    <col min="144" max="145" width="4.29296875" bestFit="1" customWidth="1"/>
    <col min="146" max="147" width="8.46875" bestFit="1" customWidth="1"/>
    <col min="148" max="149" width="8.64453125" bestFit="1" customWidth="1"/>
    <col min="150" max="150" width="4.29296875" bestFit="1" customWidth="1"/>
    <col min="151" max="153" width="8.64453125" bestFit="1" customWidth="1"/>
    <col min="154" max="154" width="4.29296875" bestFit="1" customWidth="1"/>
    <col min="155" max="155" width="8.64453125" bestFit="1" customWidth="1"/>
    <col min="156" max="156" width="8.76171875" bestFit="1" customWidth="1"/>
    <col min="157" max="190" width="4.29296875" bestFit="1" customWidth="1"/>
    <col min="191" max="191" width="13.29296875" bestFit="1" customWidth="1"/>
    <col min="192" max="192" width="16" bestFit="1" customWidth="1"/>
    <col min="193" max="193" width="14.703125" bestFit="1" customWidth="1"/>
    <col min="194" max="194" width="27.17578125" bestFit="1" customWidth="1"/>
    <col min="195" max="195" width="15.17578125" bestFit="1" customWidth="1"/>
  </cols>
  <sheetData>
    <row r="1" spans="1:25" x14ac:dyDescent="0.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s="1" t="s">
        <v>16</v>
      </c>
      <c r="P1" t="s">
        <v>15</v>
      </c>
    </row>
    <row r="2" spans="1:25" x14ac:dyDescent="0.5">
      <c r="A2">
        <v>1</v>
      </c>
      <c r="B2">
        <v>5.0999999999999996</v>
      </c>
      <c r="C2">
        <v>3.5</v>
      </c>
      <c r="D2">
        <v>1.4</v>
      </c>
      <c r="E2">
        <v>0.2</v>
      </c>
      <c r="F2" t="s">
        <v>6</v>
      </c>
      <c r="H2" t="s">
        <v>9</v>
      </c>
      <c r="I2" s="5">
        <f>COUNTBLANK(iris[SepalLengthCm])</f>
        <v>0</v>
      </c>
      <c r="J2" s="5">
        <f>COUNTBLANK(iris[SepalWidthCm])</f>
        <v>0</v>
      </c>
      <c r="K2" s="5">
        <f>COUNTBLANK(iris[PetalLengthCm])</f>
        <v>0</v>
      </c>
      <c r="L2" s="5">
        <f>COUNTBLANK(iris[PetalWidthCm])</f>
        <v>0</v>
      </c>
      <c r="M2" s="5">
        <f>COUNTBLANK(iris[Species])</f>
        <v>0</v>
      </c>
      <c r="O2" s="2" t="s">
        <v>6</v>
      </c>
      <c r="P2">
        <v>50</v>
      </c>
    </row>
    <row r="3" spans="1:25" x14ac:dyDescent="0.5">
      <c r="A3">
        <v>2</v>
      </c>
      <c r="B3">
        <v>4.9000000000000004</v>
      </c>
      <c r="C3">
        <v>3</v>
      </c>
      <c r="D3">
        <v>1.4</v>
      </c>
      <c r="E3">
        <v>0.2</v>
      </c>
      <c r="F3" t="s">
        <v>6</v>
      </c>
      <c r="H3" t="s">
        <v>10</v>
      </c>
      <c r="I3" s="3">
        <f>AVERAGE(iris[SepalLengthCm])</f>
        <v>5.8433333333333346</v>
      </c>
      <c r="J3" s="3">
        <f>AVERAGE(iris[SepalWidthCm])</f>
        <v>3.0540000000000007</v>
      </c>
      <c r="K3" s="3">
        <f>AVERAGE(iris[PetalLengthCm])</f>
        <v>3.7586666666666693</v>
      </c>
      <c r="L3" s="3">
        <f>AVERAGE(iris[PetalWidthCm])</f>
        <v>1.1986666666666672</v>
      </c>
      <c r="M3" s="3"/>
      <c r="O3" s="2" t="s">
        <v>7</v>
      </c>
      <c r="P3">
        <v>50</v>
      </c>
    </row>
    <row r="4" spans="1:25" x14ac:dyDescent="0.5">
      <c r="A4">
        <v>3</v>
      </c>
      <c r="B4">
        <v>4.7</v>
      </c>
      <c r="C4">
        <v>3.2</v>
      </c>
      <c r="D4">
        <v>1.3</v>
      </c>
      <c r="E4">
        <v>0.2</v>
      </c>
      <c r="F4" t="s">
        <v>6</v>
      </c>
      <c r="H4" t="s">
        <v>11</v>
      </c>
      <c r="I4" s="3">
        <f>MEDIAN(iris[SepalLengthCm])</f>
        <v>5.8</v>
      </c>
      <c r="J4" s="3">
        <f>MEDIAN(iris[SepalWidthCm])</f>
        <v>3</v>
      </c>
      <c r="K4" s="3">
        <f>MEDIAN(iris[PetalLengthCm])</f>
        <v>4.3499999999999996</v>
      </c>
      <c r="L4" s="3">
        <f>MEDIAN(iris[PetalWidthCm])</f>
        <v>1.3</v>
      </c>
      <c r="M4" s="3"/>
      <c r="O4" s="2" t="s">
        <v>8</v>
      </c>
      <c r="P4">
        <v>50</v>
      </c>
    </row>
    <row r="5" spans="1:25" x14ac:dyDescent="0.5">
      <c r="A5">
        <v>4</v>
      </c>
      <c r="B5">
        <v>4.5999999999999996</v>
      </c>
      <c r="C5">
        <v>3.1</v>
      </c>
      <c r="D5">
        <v>1.5</v>
      </c>
      <c r="E5">
        <v>0.2</v>
      </c>
      <c r="F5" t="s">
        <v>6</v>
      </c>
      <c r="H5" t="s">
        <v>12</v>
      </c>
      <c r="I5" s="3">
        <f>MIN(iris[SepalLengthCm])</f>
        <v>4.3</v>
      </c>
      <c r="J5" s="3">
        <f>MIN(iris[SepalWidthCm])</f>
        <v>2</v>
      </c>
      <c r="K5" s="3">
        <f>MIN(iris[PetalLengthCm])</f>
        <v>1</v>
      </c>
      <c r="L5" s="3">
        <f>MIN(iris[PetalWidthCm])</f>
        <v>0.1</v>
      </c>
      <c r="M5" s="3"/>
    </row>
    <row r="6" spans="1:25" x14ac:dyDescent="0.5">
      <c r="A6">
        <v>5</v>
      </c>
      <c r="B6">
        <v>5</v>
      </c>
      <c r="C6">
        <v>3.6</v>
      </c>
      <c r="D6">
        <v>1.4</v>
      </c>
      <c r="E6">
        <v>0.2</v>
      </c>
      <c r="F6" t="s">
        <v>6</v>
      </c>
      <c r="H6" t="s">
        <v>13</v>
      </c>
      <c r="I6" s="3">
        <f>MAX(iris[SepalLengthCm])</f>
        <v>7.9</v>
      </c>
      <c r="J6" s="3">
        <f>MAX(iris[SepalWidthCm])</f>
        <v>4.4000000000000004</v>
      </c>
      <c r="K6" s="3">
        <f>MAX(iris[PetalLengthCm])</f>
        <v>6.9</v>
      </c>
      <c r="L6" s="3">
        <f>MAX(iris[PetalWidthCm])</f>
        <v>2.5</v>
      </c>
      <c r="M6" s="3"/>
    </row>
    <row r="7" spans="1:25" x14ac:dyDescent="0.5">
      <c r="A7">
        <v>6</v>
      </c>
      <c r="B7">
        <v>5.4</v>
      </c>
      <c r="C7">
        <v>3.9</v>
      </c>
      <c r="D7">
        <v>1.7</v>
      </c>
      <c r="E7">
        <v>0.4</v>
      </c>
      <c r="F7" t="s">
        <v>6</v>
      </c>
      <c r="H7" t="s">
        <v>14</v>
      </c>
      <c r="I7" s="3">
        <f>_xlfn.STDEV.P(iris[SepalLengthCm])</f>
        <v>0.82530129178512213</v>
      </c>
      <c r="J7" s="3">
        <f>_xlfn.STDEV.P(iris[SepalWidthCm])</f>
        <v>0.43214658007052925</v>
      </c>
      <c r="K7" s="3">
        <f>_xlfn.STDEV.P(iris[PetalLengthCm])</f>
        <v>1.7585291834055159</v>
      </c>
      <c r="L7" s="3">
        <f>_xlfn.STDEV.P(iris[PetalWidthCm])</f>
        <v>0.76061261858817131</v>
      </c>
      <c r="M7" s="3"/>
    </row>
    <row r="8" spans="1:25" x14ac:dyDescent="0.5">
      <c r="A8">
        <v>7</v>
      </c>
      <c r="B8">
        <v>4.5999999999999996</v>
      </c>
      <c r="C8">
        <v>3.4</v>
      </c>
      <c r="D8">
        <v>1.4</v>
      </c>
      <c r="E8">
        <v>0.3</v>
      </c>
      <c r="F8" t="s">
        <v>6</v>
      </c>
    </row>
    <row r="9" spans="1:25" x14ac:dyDescent="0.5">
      <c r="A9">
        <v>8</v>
      </c>
      <c r="B9">
        <v>5</v>
      </c>
      <c r="C9">
        <v>3.4</v>
      </c>
      <c r="D9">
        <v>1.5</v>
      </c>
      <c r="E9">
        <v>0.2</v>
      </c>
      <c r="F9" t="s">
        <v>6</v>
      </c>
    </row>
    <row r="10" spans="1:25" x14ac:dyDescent="0.5">
      <c r="A10">
        <v>9</v>
      </c>
      <c r="B10">
        <v>4.4000000000000004</v>
      </c>
      <c r="C10">
        <v>2.9</v>
      </c>
      <c r="D10">
        <v>1.4</v>
      </c>
      <c r="E10">
        <v>0.2</v>
      </c>
      <c r="F10" t="s">
        <v>6</v>
      </c>
    </row>
    <row r="11" spans="1:25" x14ac:dyDescent="0.5">
      <c r="A11">
        <v>10</v>
      </c>
      <c r="B11">
        <v>4.9000000000000004</v>
      </c>
      <c r="C11">
        <v>3.1</v>
      </c>
      <c r="D11">
        <v>1.5</v>
      </c>
      <c r="E11">
        <v>0.1</v>
      </c>
      <c r="F11" t="s">
        <v>6</v>
      </c>
    </row>
    <row r="12" spans="1:25" x14ac:dyDescent="0.5">
      <c r="A12">
        <v>11</v>
      </c>
      <c r="B12">
        <v>5.4</v>
      </c>
      <c r="C12">
        <v>3.7</v>
      </c>
      <c r="D12">
        <v>1.5</v>
      </c>
      <c r="E12">
        <v>0.2</v>
      </c>
      <c r="F12" t="s">
        <v>6</v>
      </c>
      <c r="O12" s="4" t="s">
        <v>20</v>
      </c>
      <c r="P12" s="4"/>
      <c r="Q12" s="4"/>
      <c r="R12" s="4"/>
      <c r="S12" s="4"/>
      <c r="U12" s="4" t="s">
        <v>3</v>
      </c>
      <c r="V12" s="4"/>
      <c r="W12" s="4"/>
      <c r="X12" s="4"/>
      <c r="Y12" s="4"/>
    </row>
    <row r="13" spans="1:25" x14ac:dyDescent="0.5">
      <c r="A13">
        <v>12</v>
      </c>
      <c r="B13">
        <v>4.8</v>
      </c>
      <c r="C13">
        <v>3.4</v>
      </c>
      <c r="D13">
        <v>1.6</v>
      </c>
      <c r="E13">
        <v>0.2</v>
      </c>
      <c r="F13" t="s">
        <v>6</v>
      </c>
      <c r="P13" s="1" t="s">
        <v>16</v>
      </c>
      <c r="V13" s="1" t="s">
        <v>16</v>
      </c>
    </row>
    <row r="14" spans="1:25" x14ac:dyDescent="0.5">
      <c r="A14">
        <v>13</v>
      </c>
      <c r="B14">
        <v>4.8</v>
      </c>
      <c r="C14">
        <v>3</v>
      </c>
      <c r="D14">
        <v>1.4</v>
      </c>
      <c r="E14">
        <v>0.1</v>
      </c>
      <c r="F14" t="s">
        <v>6</v>
      </c>
      <c r="O14" s="1" t="s">
        <v>17</v>
      </c>
      <c r="P14" t="s">
        <v>6</v>
      </c>
      <c r="Q14" t="s">
        <v>7</v>
      </c>
      <c r="R14" t="s">
        <v>8</v>
      </c>
      <c r="S14" t="s">
        <v>21</v>
      </c>
      <c r="U14" s="1" t="s">
        <v>17</v>
      </c>
      <c r="V14" t="s">
        <v>6</v>
      </c>
      <c r="W14" t="s">
        <v>7</v>
      </c>
      <c r="X14" t="s">
        <v>8</v>
      </c>
      <c r="Y14" t="s">
        <v>21</v>
      </c>
    </row>
    <row r="15" spans="1:25" x14ac:dyDescent="0.5">
      <c r="A15">
        <v>14</v>
      </c>
      <c r="B15">
        <v>4.3</v>
      </c>
      <c r="C15">
        <v>3</v>
      </c>
      <c r="D15">
        <v>1.1000000000000001</v>
      </c>
      <c r="E15">
        <v>0.1</v>
      </c>
      <c r="F15" t="s">
        <v>6</v>
      </c>
      <c r="O15" s="2" t="s">
        <v>10</v>
      </c>
      <c r="P15" s="3">
        <v>5.0059999999999993</v>
      </c>
      <c r="Q15" s="3">
        <v>5.9359999999999999</v>
      </c>
      <c r="R15" s="3">
        <v>6.5879999999999983</v>
      </c>
      <c r="S15" s="3">
        <v>5.8433333333333346</v>
      </c>
      <c r="U15" s="2" t="s">
        <v>10</v>
      </c>
      <c r="V15" s="3">
        <v>1.464</v>
      </c>
      <c r="W15" s="3">
        <v>4.26</v>
      </c>
      <c r="X15" s="3">
        <v>5.5519999999999996</v>
      </c>
      <c r="Y15" s="3">
        <v>3.7586666666666693</v>
      </c>
    </row>
    <row r="16" spans="1:25" x14ac:dyDescent="0.5">
      <c r="A16">
        <v>15</v>
      </c>
      <c r="B16">
        <v>5.8</v>
      </c>
      <c r="C16">
        <v>4</v>
      </c>
      <c r="D16">
        <v>1.2</v>
      </c>
      <c r="E16">
        <v>0.2</v>
      </c>
      <c r="F16" t="s">
        <v>6</v>
      </c>
      <c r="O16" s="2" t="s">
        <v>13</v>
      </c>
      <c r="P16" s="3">
        <v>5.8</v>
      </c>
      <c r="Q16" s="3">
        <v>7</v>
      </c>
      <c r="R16" s="3">
        <v>7.9</v>
      </c>
      <c r="S16" s="3">
        <v>7.9</v>
      </c>
      <c r="U16" s="2" t="s">
        <v>13</v>
      </c>
      <c r="V16" s="3">
        <v>1.9</v>
      </c>
      <c r="W16" s="3">
        <v>5.0999999999999996</v>
      </c>
      <c r="X16" s="3">
        <v>6.9</v>
      </c>
      <c r="Y16" s="3">
        <v>6.9</v>
      </c>
    </row>
    <row r="17" spans="1:25" x14ac:dyDescent="0.5">
      <c r="A17">
        <v>16</v>
      </c>
      <c r="B17">
        <v>5.7</v>
      </c>
      <c r="C17">
        <v>4.4000000000000004</v>
      </c>
      <c r="D17">
        <v>1.5</v>
      </c>
      <c r="E17">
        <v>0.4</v>
      </c>
      <c r="F17" t="s">
        <v>6</v>
      </c>
      <c r="O17" s="2" t="s">
        <v>12</v>
      </c>
      <c r="P17" s="3">
        <v>4.3</v>
      </c>
      <c r="Q17" s="3">
        <v>4.9000000000000004</v>
      </c>
      <c r="R17" s="3">
        <v>4.9000000000000004</v>
      </c>
      <c r="S17" s="3">
        <v>4.3</v>
      </c>
      <c r="U17" s="2" t="s">
        <v>12</v>
      </c>
      <c r="V17" s="3">
        <v>1</v>
      </c>
      <c r="W17" s="3">
        <v>3</v>
      </c>
      <c r="X17" s="3">
        <v>4.5</v>
      </c>
      <c r="Y17" s="3">
        <v>1</v>
      </c>
    </row>
    <row r="18" spans="1:25" x14ac:dyDescent="0.5">
      <c r="A18">
        <v>17</v>
      </c>
      <c r="B18">
        <v>5.4</v>
      </c>
      <c r="C18">
        <v>3.9</v>
      </c>
      <c r="D18">
        <v>1.3</v>
      </c>
      <c r="E18">
        <v>0.4</v>
      </c>
      <c r="F18" t="s">
        <v>6</v>
      </c>
      <c r="O18" s="2" t="s">
        <v>18</v>
      </c>
      <c r="P18" s="3">
        <v>0.35248968721344887</v>
      </c>
      <c r="Q18" s="3">
        <v>0.51617114706387268</v>
      </c>
      <c r="R18" s="3">
        <v>0.63587959327445642</v>
      </c>
      <c r="S18" s="3">
        <v>0.82806612797784351</v>
      </c>
      <c r="U18" s="2" t="s">
        <v>18</v>
      </c>
      <c r="V18" s="3">
        <v>0.17351115943644299</v>
      </c>
      <c r="W18" s="3">
        <v>0.46991097723996639</v>
      </c>
      <c r="X18" s="3">
        <v>0.55189469566397931</v>
      </c>
      <c r="Y18" s="3">
        <v>1.764420419952258</v>
      </c>
    </row>
    <row r="19" spans="1:25" x14ac:dyDescent="0.5">
      <c r="A19">
        <v>18</v>
      </c>
      <c r="B19">
        <v>5.0999999999999996</v>
      </c>
      <c r="C19">
        <v>3.5</v>
      </c>
      <c r="D19">
        <v>1.4</v>
      </c>
      <c r="E19">
        <v>0.3</v>
      </c>
      <c r="F19" t="s">
        <v>6</v>
      </c>
      <c r="O19" s="2" t="s">
        <v>19</v>
      </c>
      <c r="P19" s="3">
        <v>0.12176399999999848</v>
      </c>
      <c r="Q19" s="3">
        <v>0.26110400000000955</v>
      </c>
      <c r="R19" s="3">
        <v>0.39625600000003469</v>
      </c>
      <c r="S19" s="3">
        <v>0.68112222222219121</v>
      </c>
      <c r="U19" s="2" t="s">
        <v>19</v>
      </c>
      <c r="V19" s="3">
        <v>2.9503999999998996E-2</v>
      </c>
      <c r="W19" s="3">
        <v>0.21640000000000581</v>
      </c>
      <c r="X19" s="3">
        <v>0.29849599999999626</v>
      </c>
      <c r="Y19" s="3">
        <v>3.0924248888888708</v>
      </c>
    </row>
    <row r="20" spans="1:25" x14ac:dyDescent="0.5">
      <c r="A20">
        <v>19</v>
      </c>
      <c r="B20">
        <v>5.7</v>
      </c>
      <c r="C20">
        <v>3.8</v>
      </c>
      <c r="D20">
        <v>1.7</v>
      </c>
      <c r="E20">
        <v>0.3</v>
      </c>
      <c r="F20" t="s">
        <v>6</v>
      </c>
    </row>
    <row r="21" spans="1:25" x14ac:dyDescent="0.5">
      <c r="A21">
        <v>20</v>
      </c>
      <c r="B21">
        <v>5.0999999999999996</v>
      </c>
      <c r="C21">
        <v>3.8</v>
      </c>
      <c r="D21">
        <v>1.5</v>
      </c>
      <c r="E21">
        <v>0.3</v>
      </c>
      <c r="F21" t="s">
        <v>6</v>
      </c>
      <c r="O21" s="4" t="s">
        <v>2</v>
      </c>
      <c r="P21" s="4"/>
      <c r="Q21" s="4"/>
      <c r="R21" s="4"/>
      <c r="S21" s="4"/>
      <c r="U21" s="4" t="s">
        <v>4</v>
      </c>
      <c r="V21" s="4"/>
      <c r="W21" s="4"/>
      <c r="X21" s="4"/>
      <c r="Y21" s="4"/>
    </row>
    <row r="22" spans="1:25" x14ac:dyDescent="0.5">
      <c r="A22">
        <v>21</v>
      </c>
      <c r="B22">
        <v>5.4</v>
      </c>
      <c r="C22">
        <v>3.4</v>
      </c>
      <c r="D22">
        <v>1.7</v>
      </c>
      <c r="E22">
        <v>0.2</v>
      </c>
      <c r="F22" t="s">
        <v>6</v>
      </c>
      <c r="P22" s="1" t="s">
        <v>16</v>
      </c>
      <c r="V22" s="1" t="s">
        <v>16</v>
      </c>
    </row>
    <row r="23" spans="1:25" x14ac:dyDescent="0.5">
      <c r="A23">
        <v>22</v>
      </c>
      <c r="B23">
        <v>5.0999999999999996</v>
      </c>
      <c r="C23">
        <v>3.7</v>
      </c>
      <c r="D23">
        <v>1.5</v>
      </c>
      <c r="E23">
        <v>0.4</v>
      </c>
      <c r="F23" t="s">
        <v>6</v>
      </c>
      <c r="O23" s="1" t="s">
        <v>17</v>
      </c>
      <c r="P23" t="s">
        <v>6</v>
      </c>
      <c r="Q23" t="s">
        <v>7</v>
      </c>
      <c r="R23" t="s">
        <v>8</v>
      </c>
      <c r="S23" t="s">
        <v>21</v>
      </c>
      <c r="U23" s="1" t="s">
        <v>17</v>
      </c>
      <c r="V23" t="s">
        <v>6</v>
      </c>
      <c r="W23" t="s">
        <v>7</v>
      </c>
      <c r="X23" t="s">
        <v>8</v>
      </c>
      <c r="Y23" t="s">
        <v>21</v>
      </c>
    </row>
    <row r="24" spans="1:25" x14ac:dyDescent="0.5">
      <c r="A24">
        <v>23</v>
      </c>
      <c r="B24">
        <v>4.5999999999999996</v>
      </c>
      <c r="C24">
        <v>3.6</v>
      </c>
      <c r="D24">
        <v>1</v>
      </c>
      <c r="E24">
        <v>0.2</v>
      </c>
      <c r="F24" t="s">
        <v>6</v>
      </c>
      <c r="O24" s="2" t="s">
        <v>10</v>
      </c>
      <c r="P24" s="3">
        <v>3.4180000000000006</v>
      </c>
      <c r="Q24" s="3">
        <v>2.7700000000000005</v>
      </c>
      <c r="R24" s="3">
        <v>2.9739999999999998</v>
      </c>
      <c r="S24" s="3">
        <v>3.0540000000000007</v>
      </c>
      <c r="U24" s="2" t="s">
        <v>10</v>
      </c>
      <c r="V24" s="3">
        <v>0.24399999999999991</v>
      </c>
      <c r="W24" s="3">
        <v>1.3259999999999998</v>
      </c>
      <c r="X24" s="3">
        <v>2.0259999999999998</v>
      </c>
      <c r="Y24" s="3">
        <v>1.1986666666666672</v>
      </c>
    </row>
    <row r="25" spans="1:25" x14ac:dyDescent="0.5">
      <c r="A25">
        <v>24</v>
      </c>
      <c r="B25">
        <v>5.0999999999999996</v>
      </c>
      <c r="C25">
        <v>3.3</v>
      </c>
      <c r="D25">
        <v>1.7</v>
      </c>
      <c r="E25">
        <v>0.5</v>
      </c>
      <c r="F25" t="s">
        <v>6</v>
      </c>
      <c r="O25" s="2" t="s">
        <v>13</v>
      </c>
      <c r="P25" s="3">
        <v>4.4000000000000004</v>
      </c>
      <c r="Q25" s="3">
        <v>3.4</v>
      </c>
      <c r="R25" s="3">
        <v>3.8</v>
      </c>
      <c r="S25" s="3">
        <v>4.4000000000000004</v>
      </c>
      <c r="U25" s="2" t="s">
        <v>13</v>
      </c>
      <c r="V25" s="3">
        <v>0.6</v>
      </c>
      <c r="W25" s="3">
        <v>1.8</v>
      </c>
      <c r="X25" s="3">
        <v>2.5</v>
      </c>
      <c r="Y25" s="3">
        <v>2.5</v>
      </c>
    </row>
    <row r="26" spans="1:25" x14ac:dyDescent="0.5">
      <c r="A26">
        <v>25</v>
      </c>
      <c r="B26">
        <v>4.8</v>
      </c>
      <c r="C26">
        <v>3.4</v>
      </c>
      <c r="D26">
        <v>1.9</v>
      </c>
      <c r="E26">
        <v>0.2</v>
      </c>
      <c r="F26" t="s">
        <v>6</v>
      </c>
      <c r="O26" s="2" t="s">
        <v>12</v>
      </c>
      <c r="P26" s="3">
        <v>2.2999999999999998</v>
      </c>
      <c r="Q26" s="3">
        <v>2</v>
      </c>
      <c r="R26" s="3">
        <v>2.2000000000000002</v>
      </c>
      <c r="S26" s="3">
        <v>2</v>
      </c>
      <c r="U26" s="2" t="s">
        <v>12</v>
      </c>
      <c r="V26" s="3">
        <v>0.1</v>
      </c>
      <c r="W26" s="3">
        <v>1</v>
      </c>
      <c r="X26" s="3">
        <v>1.4</v>
      </c>
      <c r="Y26" s="3">
        <v>0.1</v>
      </c>
    </row>
    <row r="27" spans="1:25" x14ac:dyDescent="0.5">
      <c r="A27">
        <v>26</v>
      </c>
      <c r="B27">
        <v>5</v>
      </c>
      <c r="C27">
        <v>3</v>
      </c>
      <c r="D27">
        <v>1.6</v>
      </c>
      <c r="E27">
        <v>0.2</v>
      </c>
      <c r="F27" t="s">
        <v>6</v>
      </c>
      <c r="O27" s="2" t="s">
        <v>18</v>
      </c>
      <c r="P27" s="3">
        <v>0.38102439795469012</v>
      </c>
      <c r="Q27" s="3">
        <v>0.31379832337840918</v>
      </c>
      <c r="R27" s="3">
        <v>0.32249663817263963</v>
      </c>
      <c r="S27" s="3">
        <v>0.4335943113621597</v>
      </c>
      <c r="U27" s="2" t="s">
        <v>18</v>
      </c>
      <c r="V27" s="3">
        <v>0.10720950308167866</v>
      </c>
      <c r="W27" s="3">
        <v>0.19775268000454274</v>
      </c>
      <c r="X27" s="3">
        <v>0.27465005563666967</v>
      </c>
      <c r="Y27" s="3">
        <v>0.76316074170084081</v>
      </c>
    </row>
    <row r="28" spans="1:25" x14ac:dyDescent="0.5">
      <c r="A28">
        <v>27</v>
      </c>
      <c r="B28">
        <v>5</v>
      </c>
      <c r="C28">
        <v>3.4</v>
      </c>
      <c r="D28">
        <v>1.6</v>
      </c>
      <c r="E28">
        <v>0.4</v>
      </c>
      <c r="F28" t="s">
        <v>6</v>
      </c>
      <c r="O28" s="2" t="s">
        <v>19</v>
      </c>
      <c r="P28" s="3">
        <v>0.14227599999999949</v>
      </c>
      <c r="Q28" s="3">
        <v>9.6499999999998545E-2</v>
      </c>
      <c r="R28" s="3">
        <v>0.10192400000000199</v>
      </c>
      <c r="S28" s="3">
        <v>0.18675066666665435</v>
      </c>
      <c r="U28" s="2" t="s">
        <v>19</v>
      </c>
      <c r="V28" s="3">
        <v>1.1264000000000055E-2</v>
      </c>
      <c r="W28" s="3">
        <v>3.8323999999999435E-2</v>
      </c>
      <c r="X28" s="3">
        <v>7.3924000000001253E-2</v>
      </c>
      <c r="Y28" s="3">
        <v>0.57853155555555502</v>
      </c>
    </row>
    <row r="29" spans="1:25" x14ac:dyDescent="0.5">
      <c r="A29">
        <v>28</v>
      </c>
      <c r="B29">
        <v>5.2</v>
      </c>
      <c r="C29">
        <v>3.5</v>
      </c>
      <c r="D29">
        <v>1.5</v>
      </c>
      <c r="E29">
        <v>0.2</v>
      </c>
      <c r="F29" t="s">
        <v>6</v>
      </c>
    </row>
    <row r="30" spans="1:25" x14ac:dyDescent="0.5">
      <c r="A30">
        <v>29</v>
      </c>
      <c r="B30">
        <v>5.2</v>
      </c>
      <c r="C30">
        <v>3.4</v>
      </c>
      <c r="D30">
        <v>1.4</v>
      </c>
      <c r="E30">
        <v>0.2</v>
      </c>
      <c r="F30" t="s">
        <v>6</v>
      </c>
    </row>
    <row r="31" spans="1:25" x14ac:dyDescent="0.5">
      <c r="A31">
        <v>30</v>
      </c>
      <c r="B31">
        <v>4.7</v>
      </c>
      <c r="C31">
        <v>3.2</v>
      </c>
      <c r="D31">
        <v>1.6</v>
      </c>
      <c r="E31">
        <v>0.2</v>
      </c>
      <c r="F31" t="s">
        <v>6</v>
      </c>
    </row>
    <row r="32" spans="1:25" x14ac:dyDescent="0.5">
      <c r="A32">
        <v>31</v>
      </c>
      <c r="B32">
        <v>4.8</v>
      </c>
      <c r="C32">
        <v>3.1</v>
      </c>
      <c r="D32">
        <v>1.6</v>
      </c>
      <c r="E32">
        <v>0.2</v>
      </c>
      <c r="F32" t="s">
        <v>6</v>
      </c>
    </row>
    <row r="33" spans="1:16" x14ac:dyDescent="0.5">
      <c r="A33">
        <v>32</v>
      </c>
      <c r="B33">
        <v>5.4</v>
      </c>
      <c r="C33">
        <v>3.4</v>
      </c>
      <c r="D33">
        <v>1.5</v>
      </c>
      <c r="E33">
        <v>0.4</v>
      </c>
      <c r="F33" t="s">
        <v>6</v>
      </c>
    </row>
    <row r="34" spans="1:16" x14ac:dyDescent="0.5">
      <c r="A34">
        <v>33</v>
      </c>
      <c r="B34">
        <v>5.2</v>
      </c>
      <c r="C34">
        <v>4.0999999999999996</v>
      </c>
      <c r="D34">
        <v>1.5</v>
      </c>
      <c r="E34">
        <v>0.1</v>
      </c>
      <c r="F34" t="s">
        <v>6</v>
      </c>
    </row>
    <row r="35" spans="1:16" x14ac:dyDescent="0.5">
      <c r="A35">
        <v>34</v>
      </c>
      <c r="B35">
        <v>5.5</v>
      </c>
      <c r="C35">
        <v>4.2</v>
      </c>
      <c r="D35">
        <v>1.4</v>
      </c>
      <c r="E35">
        <v>0.2</v>
      </c>
      <c r="F35" t="s">
        <v>6</v>
      </c>
      <c r="O35" s="1" t="s">
        <v>5</v>
      </c>
      <c r="P35" t="s">
        <v>22</v>
      </c>
    </row>
    <row r="36" spans="1:16" x14ac:dyDescent="0.5">
      <c r="A36">
        <v>35</v>
      </c>
      <c r="B36">
        <v>4.9000000000000004</v>
      </c>
      <c r="C36">
        <v>3.1</v>
      </c>
      <c r="D36">
        <v>1.5</v>
      </c>
      <c r="E36">
        <v>0.1</v>
      </c>
      <c r="F36" t="s">
        <v>6</v>
      </c>
    </row>
    <row r="37" spans="1:16" x14ac:dyDescent="0.5">
      <c r="A37">
        <v>36</v>
      </c>
      <c r="B37">
        <v>5</v>
      </c>
      <c r="C37">
        <v>3.2</v>
      </c>
      <c r="D37">
        <v>1.2</v>
      </c>
      <c r="E37">
        <v>0.2</v>
      </c>
      <c r="F37" t="s">
        <v>6</v>
      </c>
    </row>
    <row r="38" spans="1:16" x14ac:dyDescent="0.5">
      <c r="A38">
        <v>37</v>
      </c>
      <c r="B38">
        <v>5.5</v>
      </c>
      <c r="C38">
        <v>3.5</v>
      </c>
      <c r="D38">
        <v>1.3</v>
      </c>
      <c r="E38">
        <v>0.2</v>
      </c>
      <c r="F38" t="s">
        <v>6</v>
      </c>
    </row>
    <row r="39" spans="1:16" x14ac:dyDescent="0.5">
      <c r="A39">
        <v>38</v>
      </c>
      <c r="B39">
        <v>4.9000000000000004</v>
      </c>
      <c r="C39">
        <v>3.1</v>
      </c>
      <c r="D39">
        <v>1.5</v>
      </c>
      <c r="E39">
        <v>0.1</v>
      </c>
      <c r="F39" t="s">
        <v>6</v>
      </c>
    </row>
    <row r="40" spans="1:16" x14ac:dyDescent="0.5">
      <c r="A40">
        <v>39</v>
      </c>
      <c r="B40">
        <v>4.4000000000000004</v>
      </c>
      <c r="C40">
        <v>3</v>
      </c>
      <c r="D40">
        <v>1.3</v>
      </c>
      <c r="E40">
        <v>0.2</v>
      </c>
      <c r="F40" t="s">
        <v>6</v>
      </c>
    </row>
    <row r="41" spans="1:16" x14ac:dyDescent="0.5">
      <c r="A41">
        <v>40</v>
      </c>
      <c r="B41">
        <v>5.0999999999999996</v>
      </c>
      <c r="C41">
        <v>3.4</v>
      </c>
      <c r="D41">
        <v>1.5</v>
      </c>
      <c r="E41">
        <v>0.2</v>
      </c>
      <c r="F41" t="s">
        <v>6</v>
      </c>
    </row>
    <row r="42" spans="1:16" x14ac:dyDescent="0.5">
      <c r="A42">
        <v>41</v>
      </c>
      <c r="B42">
        <v>5</v>
      </c>
      <c r="C42">
        <v>3.5</v>
      </c>
      <c r="D42">
        <v>1.3</v>
      </c>
      <c r="E42">
        <v>0.3</v>
      </c>
      <c r="F42" t="s">
        <v>6</v>
      </c>
    </row>
    <row r="43" spans="1:16" x14ac:dyDescent="0.5">
      <c r="A43">
        <v>42</v>
      </c>
      <c r="B43">
        <v>4.5</v>
      </c>
      <c r="C43">
        <v>2.2999999999999998</v>
      </c>
      <c r="D43">
        <v>1.3</v>
      </c>
      <c r="E43">
        <v>0.3</v>
      </c>
      <c r="F43" t="s">
        <v>6</v>
      </c>
    </row>
    <row r="44" spans="1:16" x14ac:dyDescent="0.5">
      <c r="A44">
        <v>43</v>
      </c>
      <c r="B44">
        <v>4.4000000000000004</v>
      </c>
      <c r="C44">
        <v>3.2</v>
      </c>
      <c r="D44">
        <v>1.3</v>
      </c>
      <c r="E44">
        <v>0.2</v>
      </c>
      <c r="F44" t="s">
        <v>6</v>
      </c>
    </row>
    <row r="45" spans="1:16" x14ac:dyDescent="0.5">
      <c r="A45">
        <v>44</v>
      </c>
      <c r="B45">
        <v>5</v>
      </c>
      <c r="C45">
        <v>3.5</v>
      </c>
      <c r="D45">
        <v>1.6</v>
      </c>
      <c r="E45">
        <v>0.6</v>
      </c>
      <c r="F45" t="s">
        <v>6</v>
      </c>
    </row>
    <row r="46" spans="1:16" x14ac:dyDescent="0.5">
      <c r="A46">
        <v>45</v>
      </c>
      <c r="B46">
        <v>5.0999999999999996</v>
      </c>
      <c r="C46">
        <v>3.8</v>
      </c>
      <c r="D46">
        <v>1.9</v>
      </c>
      <c r="E46">
        <v>0.4</v>
      </c>
      <c r="F46" t="s">
        <v>6</v>
      </c>
    </row>
    <row r="47" spans="1:16" x14ac:dyDescent="0.5">
      <c r="A47">
        <v>46</v>
      </c>
      <c r="B47">
        <v>4.8</v>
      </c>
      <c r="C47">
        <v>3</v>
      </c>
      <c r="D47">
        <v>1.4</v>
      </c>
      <c r="E47">
        <v>0.3</v>
      </c>
      <c r="F47" t="s">
        <v>6</v>
      </c>
    </row>
    <row r="48" spans="1:16" x14ac:dyDescent="0.5">
      <c r="A48">
        <v>47</v>
      </c>
      <c r="B48">
        <v>5.0999999999999996</v>
      </c>
      <c r="C48">
        <v>3.8</v>
      </c>
      <c r="D48">
        <v>1.6</v>
      </c>
      <c r="E48">
        <v>0.2</v>
      </c>
      <c r="F48" t="s">
        <v>6</v>
      </c>
    </row>
    <row r="49" spans="1:6" x14ac:dyDescent="0.5">
      <c r="A49">
        <v>48</v>
      </c>
      <c r="B49">
        <v>4.5999999999999996</v>
      </c>
      <c r="C49">
        <v>3.2</v>
      </c>
      <c r="D49">
        <v>1.4</v>
      </c>
      <c r="E49">
        <v>0.2</v>
      </c>
      <c r="F49" t="s">
        <v>6</v>
      </c>
    </row>
    <row r="50" spans="1:6" x14ac:dyDescent="0.5">
      <c r="A50">
        <v>49</v>
      </c>
      <c r="B50">
        <v>5.3</v>
      </c>
      <c r="C50">
        <v>3.7</v>
      </c>
      <c r="D50">
        <v>1.5</v>
      </c>
      <c r="E50">
        <v>0.2</v>
      </c>
      <c r="F50" t="s">
        <v>6</v>
      </c>
    </row>
    <row r="51" spans="1:6" x14ac:dyDescent="0.5">
      <c r="A51">
        <v>50</v>
      </c>
      <c r="B51">
        <v>5</v>
      </c>
      <c r="C51">
        <v>3.3</v>
      </c>
      <c r="D51">
        <v>1.4</v>
      </c>
      <c r="E51">
        <v>0.2</v>
      </c>
      <c r="F51" t="s">
        <v>6</v>
      </c>
    </row>
    <row r="52" spans="1:6" x14ac:dyDescent="0.5">
      <c r="A52">
        <v>51</v>
      </c>
      <c r="B52">
        <v>7</v>
      </c>
      <c r="C52">
        <v>3.2</v>
      </c>
      <c r="D52">
        <v>4.7</v>
      </c>
      <c r="E52">
        <v>1.4</v>
      </c>
      <c r="F52" t="s">
        <v>7</v>
      </c>
    </row>
    <row r="53" spans="1:6" x14ac:dyDescent="0.5">
      <c r="A53">
        <v>52</v>
      </c>
      <c r="B53">
        <v>6.4</v>
      </c>
      <c r="C53">
        <v>3.2</v>
      </c>
      <c r="D53">
        <v>4.5</v>
      </c>
      <c r="E53">
        <v>1.5</v>
      </c>
      <c r="F53" t="s">
        <v>7</v>
      </c>
    </row>
    <row r="54" spans="1:6" x14ac:dyDescent="0.5">
      <c r="A54">
        <v>53</v>
      </c>
      <c r="B54">
        <v>6.9</v>
      </c>
      <c r="C54">
        <v>3.1</v>
      </c>
      <c r="D54">
        <v>4.9000000000000004</v>
      </c>
      <c r="E54">
        <v>1.5</v>
      </c>
      <c r="F54" t="s">
        <v>7</v>
      </c>
    </row>
    <row r="55" spans="1:6" x14ac:dyDescent="0.5">
      <c r="A55">
        <v>54</v>
      </c>
      <c r="B55">
        <v>5.5</v>
      </c>
      <c r="C55">
        <v>2.2999999999999998</v>
      </c>
      <c r="D55">
        <v>4</v>
      </c>
      <c r="E55">
        <v>1.3</v>
      </c>
      <c r="F55" t="s">
        <v>7</v>
      </c>
    </row>
    <row r="56" spans="1:6" x14ac:dyDescent="0.5">
      <c r="A56">
        <v>55</v>
      </c>
      <c r="B56">
        <v>6.5</v>
      </c>
      <c r="C56">
        <v>2.8</v>
      </c>
      <c r="D56">
        <v>4.5999999999999996</v>
      </c>
      <c r="E56">
        <v>1.5</v>
      </c>
      <c r="F56" t="s">
        <v>7</v>
      </c>
    </row>
    <row r="57" spans="1:6" x14ac:dyDescent="0.5">
      <c r="A57">
        <v>56</v>
      </c>
      <c r="B57">
        <v>5.7</v>
      </c>
      <c r="C57">
        <v>2.8</v>
      </c>
      <c r="D57">
        <v>4.5</v>
      </c>
      <c r="E57">
        <v>1.3</v>
      </c>
      <c r="F57" t="s">
        <v>7</v>
      </c>
    </row>
    <row r="58" spans="1:6" x14ac:dyDescent="0.5">
      <c r="A58">
        <v>57</v>
      </c>
      <c r="B58">
        <v>6.3</v>
      </c>
      <c r="C58">
        <v>3.3</v>
      </c>
      <c r="D58">
        <v>4.7</v>
      </c>
      <c r="E58">
        <v>1.6</v>
      </c>
      <c r="F58" t="s">
        <v>7</v>
      </c>
    </row>
    <row r="59" spans="1:6" x14ac:dyDescent="0.5">
      <c r="A59">
        <v>58</v>
      </c>
      <c r="B59">
        <v>4.9000000000000004</v>
      </c>
      <c r="C59">
        <v>2.4</v>
      </c>
      <c r="D59">
        <v>3.3</v>
      </c>
      <c r="E59">
        <v>1</v>
      </c>
      <c r="F59" t="s">
        <v>7</v>
      </c>
    </row>
    <row r="60" spans="1:6" x14ac:dyDescent="0.5">
      <c r="A60">
        <v>59</v>
      </c>
      <c r="B60">
        <v>6.6</v>
      </c>
      <c r="C60">
        <v>2.9</v>
      </c>
      <c r="D60">
        <v>4.5999999999999996</v>
      </c>
      <c r="E60">
        <v>1.3</v>
      </c>
      <c r="F60" t="s">
        <v>7</v>
      </c>
    </row>
    <row r="61" spans="1:6" x14ac:dyDescent="0.5">
      <c r="A61">
        <v>60</v>
      </c>
      <c r="B61">
        <v>5.2</v>
      </c>
      <c r="C61">
        <v>2.7</v>
      </c>
      <c r="D61">
        <v>3.9</v>
      </c>
      <c r="E61">
        <v>1.4</v>
      </c>
      <c r="F61" t="s">
        <v>7</v>
      </c>
    </row>
    <row r="62" spans="1:6" x14ac:dyDescent="0.5">
      <c r="A62">
        <v>61</v>
      </c>
      <c r="B62">
        <v>5</v>
      </c>
      <c r="C62">
        <v>2</v>
      </c>
      <c r="D62">
        <v>3.5</v>
      </c>
      <c r="E62">
        <v>1</v>
      </c>
      <c r="F62" t="s">
        <v>7</v>
      </c>
    </row>
    <row r="63" spans="1:6" x14ac:dyDescent="0.5">
      <c r="A63">
        <v>62</v>
      </c>
      <c r="B63">
        <v>5.9</v>
      </c>
      <c r="C63">
        <v>3</v>
      </c>
      <c r="D63">
        <v>4.2</v>
      </c>
      <c r="E63">
        <v>1.5</v>
      </c>
      <c r="F63" t="s">
        <v>7</v>
      </c>
    </row>
    <row r="64" spans="1:6" x14ac:dyDescent="0.5">
      <c r="A64">
        <v>63</v>
      </c>
      <c r="B64">
        <v>6</v>
      </c>
      <c r="C64">
        <v>2.2000000000000002</v>
      </c>
      <c r="D64">
        <v>4</v>
      </c>
      <c r="E64">
        <v>1</v>
      </c>
      <c r="F64" t="s">
        <v>7</v>
      </c>
    </row>
    <row r="65" spans="1:6" x14ac:dyDescent="0.5">
      <c r="A65">
        <v>64</v>
      </c>
      <c r="B65">
        <v>6.1</v>
      </c>
      <c r="C65">
        <v>2.9</v>
      </c>
      <c r="D65">
        <v>4.7</v>
      </c>
      <c r="E65">
        <v>1.4</v>
      </c>
      <c r="F65" t="s">
        <v>7</v>
      </c>
    </row>
    <row r="66" spans="1:6" x14ac:dyDescent="0.5">
      <c r="A66">
        <v>65</v>
      </c>
      <c r="B66">
        <v>5.6</v>
      </c>
      <c r="C66">
        <v>2.9</v>
      </c>
      <c r="D66">
        <v>3.6</v>
      </c>
      <c r="E66">
        <v>1.3</v>
      </c>
      <c r="F66" t="s">
        <v>7</v>
      </c>
    </row>
    <row r="67" spans="1:6" x14ac:dyDescent="0.5">
      <c r="A67">
        <v>66</v>
      </c>
      <c r="B67">
        <v>6.7</v>
      </c>
      <c r="C67">
        <v>3.1</v>
      </c>
      <c r="D67">
        <v>4.4000000000000004</v>
      </c>
      <c r="E67">
        <v>1.4</v>
      </c>
      <c r="F67" t="s">
        <v>7</v>
      </c>
    </row>
    <row r="68" spans="1:6" x14ac:dyDescent="0.5">
      <c r="A68">
        <v>67</v>
      </c>
      <c r="B68">
        <v>5.6</v>
      </c>
      <c r="C68">
        <v>3</v>
      </c>
      <c r="D68">
        <v>4.5</v>
      </c>
      <c r="E68">
        <v>1.5</v>
      </c>
      <c r="F68" t="s">
        <v>7</v>
      </c>
    </row>
    <row r="69" spans="1:6" x14ac:dyDescent="0.5">
      <c r="A69">
        <v>68</v>
      </c>
      <c r="B69">
        <v>5.8</v>
      </c>
      <c r="C69">
        <v>2.7</v>
      </c>
      <c r="D69">
        <v>4.0999999999999996</v>
      </c>
      <c r="E69">
        <v>1</v>
      </c>
      <c r="F69" t="s">
        <v>7</v>
      </c>
    </row>
    <row r="70" spans="1:6" x14ac:dyDescent="0.5">
      <c r="A70">
        <v>69</v>
      </c>
      <c r="B70">
        <v>6.2</v>
      </c>
      <c r="C70">
        <v>2.2000000000000002</v>
      </c>
      <c r="D70">
        <v>4.5</v>
      </c>
      <c r="E70">
        <v>1.5</v>
      </c>
      <c r="F70" t="s">
        <v>7</v>
      </c>
    </row>
    <row r="71" spans="1:6" x14ac:dyDescent="0.5">
      <c r="A71">
        <v>70</v>
      </c>
      <c r="B71">
        <v>5.6</v>
      </c>
      <c r="C71">
        <v>2.5</v>
      </c>
      <c r="D71">
        <v>3.9</v>
      </c>
      <c r="E71">
        <v>1.1000000000000001</v>
      </c>
      <c r="F71" t="s">
        <v>7</v>
      </c>
    </row>
    <row r="72" spans="1:6" x14ac:dyDescent="0.5">
      <c r="A72">
        <v>71</v>
      </c>
      <c r="B72">
        <v>5.9</v>
      </c>
      <c r="C72">
        <v>3.2</v>
      </c>
      <c r="D72">
        <v>4.8</v>
      </c>
      <c r="E72">
        <v>1.8</v>
      </c>
      <c r="F72" t="s">
        <v>7</v>
      </c>
    </row>
    <row r="73" spans="1:6" x14ac:dyDescent="0.5">
      <c r="A73">
        <v>72</v>
      </c>
      <c r="B73">
        <v>6.1</v>
      </c>
      <c r="C73">
        <v>2.8</v>
      </c>
      <c r="D73">
        <v>4</v>
      </c>
      <c r="E73">
        <v>1.3</v>
      </c>
      <c r="F73" t="s">
        <v>7</v>
      </c>
    </row>
    <row r="74" spans="1:6" x14ac:dyDescent="0.5">
      <c r="A74">
        <v>73</v>
      </c>
      <c r="B74">
        <v>6.3</v>
      </c>
      <c r="C74">
        <v>2.5</v>
      </c>
      <c r="D74">
        <v>4.9000000000000004</v>
      </c>
      <c r="E74">
        <v>1.5</v>
      </c>
      <c r="F74" t="s">
        <v>7</v>
      </c>
    </row>
    <row r="75" spans="1:6" x14ac:dyDescent="0.5">
      <c r="A75">
        <v>74</v>
      </c>
      <c r="B75">
        <v>6.1</v>
      </c>
      <c r="C75">
        <v>2.8</v>
      </c>
      <c r="D75">
        <v>4.7</v>
      </c>
      <c r="E75">
        <v>1.2</v>
      </c>
      <c r="F75" t="s">
        <v>7</v>
      </c>
    </row>
    <row r="76" spans="1:6" x14ac:dyDescent="0.5">
      <c r="A76">
        <v>75</v>
      </c>
      <c r="B76">
        <v>6.4</v>
      </c>
      <c r="C76">
        <v>2.9</v>
      </c>
      <c r="D76">
        <v>4.3</v>
      </c>
      <c r="E76">
        <v>1.3</v>
      </c>
      <c r="F76" t="s">
        <v>7</v>
      </c>
    </row>
    <row r="77" spans="1:6" x14ac:dyDescent="0.5">
      <c r="A77">
        <v>76</v>
      </c>
      <c r="B77">
        <v>6.6</v>
      </c>
      <c r="C77">
        <v>3</v>
      </c>
      <c r="D77">
        <v>4.4000000000000004</v>
      </c>
      <c r="E77">
        <v>1.4</v>
      </c>
      <c r="F77" t="s">
        <v>7</v>
      </c>
    </row>
    <row r="78" spans="1:6" x14ac:dyDescent="0.5">
      <c r="A78">
        <v>77</v>
      </c>
      <c r="B78">
        <v>6.8</v>
      </c>
      <c r="C78">
        <v>2.8</v>
      </c>
      <c r="D78">
        <v>4.8</v>
      </c>
      <c r="E78">
        <v>1.4</v>
      </c>
      <c r="F78" t="s">
        <v>7</v>
      </c>
    </row>
    <row r="79" spans="1:6" x14ac:dyDescent="0.5">
      <c r="A79">
        <v>78</v>
      </c>
      <c r="B79">
        <v>6.7</v>
      </c>
      <c r="C79">
        <v>3</v>
      </c>
      <c r="D79">
        <v>5</v>
      </c>
      <c r="E79">
        <v>1.7</v>
      </c>
      <c r="F79" t="s">
        <v>7</v>
      </c>
    </row>
    <row r="80" spans="1:6" x14ac:dyDescent="0.5">
      <c r="A80">
        <v>79</v>
      </c>
      <c r="B80">
        <v>6</v>
      </c>
      <c r="C80">
        <v>2.9</v>
      </c>
      <c r="D80">
        <v>4.5</v>
      </c>
      <c r="E80">
        <v>1.5</v>
      </c>
      <c r="F80" t="s">
        <v>7</v>
      </c>
    </row>
    <row r="81" spans="1:6" x14ac:dyDescent="0.5">
      <c r="A81">
        <v>80</v>
      </c>
      <c r="B81">
        <v>5.7</v>
      </c>
      <c r="C81">
        <v>2.6</v>
      </c>
      <c r="D81">
        <v>3.5</v>
      </c>
      <c r="E81">
        <v>1</v>
      </c>
      <c r="F81" t="s">
        <v>7</v>
      </c>
    </row>
    <row r="82" spans="1:6" x14ac:dyDescent="0.5">
      <c r="A82">
        <v>81</v>
      </c>
      <c r="B82">
        <v>5.5</v>
      </c>
      <c r="C82">
        <v>2.4</v>
      </c>
      <c r="D82">
        <v>3.8</v>
      </c>
      <c r="E82">
        <v>1.1000000000000001</v>
      </c>
      <c r="F82" t="s">
        <v>7</v>
      </c>
    </row>
    <row r="83" spans="1:6" x14ac:dyDescent="0.5">
      <c r="A83">
        <v>82</v>
      </c>
      <c r="B83">
        <v>5.5</v>
      </c>
      <c r="C83">
        <v>2.4</v>
      </c>
      <c r="D83">
        <v>3.7</v>
      </c>
      <c r="E83">
        <v>1</v>
      </c>
      <c r="F83" t="s">
        <v>7</v>
      </c>
    </row>
    <row r="84" spans="1:6" x14ac:dyDescent="0.5">
      <c r="A84">
        <v>83</v>
      </c>
      <c r="B84">
        <v>5.8</v>
      </c>
      <c r="C84">
        <v>2.7</v>
      </c>
      <c r="D84">
        <v>3.9</v>
      </c>
      <c r="E84">
        <v>1.2</v>
      </c>
      <c r="F84" t="s">
        <v>7</v>
      </c>
    </row>
    <row r="85" spans="1:6" x14ac:dyDescent="0.5">
      <c r="A85">
        <v>84</v>
      </c>
      <c r="B85">
        <v>6</v>
      </c>
      <c r="C85">
        <v>2.7</v>
      </c>
      <c r="D85">
        <v>5.0999999999999996</v>
      </c>
      <c r="E85">
        <v>1.6</v>
      </c>
      <c r="F85" t="s">
        <v>7</v>
      </c>
    </row>
    <row r="86" spans="1:6" x14ac:dyDescent="0.5">
      <c r="A86">
        <v>85</v>
      </c>
      <c r="B86">
        <v>5.4</v>
      </c>
      <c r="C86">
        <v>3</v>
      </c>
      <c r="D86">
        <v>4.5</v>
      </c>
      <c r="E86">
        <v>1.5</v>
      </c>
      <c r="F86" t="s">
        <v>7</v>
      </c>
    </row>
    <row r="87" spans="1:6" x14ac:dyDescent="0.5">
      <c r="A87">
        <v>86</v>
      </c>
      <c r="B87">
        <v>6</v>
      </c>
      <c r="C87">
        <v>3.4</v>
      </c>
      <c r="D87">
        <v>4.5</v>
      </c>
      <c r="E87">
        <v>1.6</v>
      </c>
      <c r="F87" t="s">
        <v>7</v>
      </c>
    </row>
    <row r="88" spans="1:6" x14ac:dyDescent="0.5">
      <c r="A88">
        <v>87</v>
      </c>
      <c r="B88">
        <v>6.7</v>
      </c>
      <c r="C88">
        <v>3.1</v>
      </c>
      <c r="D88">
        <v>4.7</v>
      </c>
      <c r="E88">
        <v>1.5</v>
      </c>
      <c r="F88" t="s">
        <v>7</v>
      </c>
    </row>
    <row r="89" spans="1:6" x14ac:dyDescent="0.5">
      <c r="A89">
        <v>88</v>
      </c>
      <c r="B89">
        <v>6.3</v>
      </c>
      <c r="C89">
        <v>2.2999999999999998</v>
      </c>
      <c r="D89">
        <v>4.4000000000000004</v>
      </c>
      <c r="E89">
        <v>1.3</v>
      </c>
      <c r="F89" t="s">
        <v>7</v>
      </c>
    </row>
    <row r="90" spans="1:6" x14ac:dyDescent="0.5">
      <c r="A90">
        <v>89</v>
      </c>
      <c r="B90">
        <v>5.6</v>
      </c>
      <c r="C90">
        <v>3</v>
      </c>
      <c r="D90">
        <v>4.0999999999999996</v>
      </c>
      <c r="E90">
        <v>1.3</v>
      </c>
      <c r="F90" t="s">
        <v>7</v>
      </c>
    </row>
    <row r="91" spans="1:6" x14ac:dyDescent="0.5">
      <c r="A91">
        <v>90</v>
      </c>
      <c r="B91">
        <v>5.5</v>
      </c>
      <c r="C91">
        <v>2.5</v>
      </c>
      <c r="D91">
        <v>4</v>
      </c>
      <c r="E91">
        <v>1.3</v>
      </c>
      <c r="F91" t="s">
        <v>7</v>
      </c>
    </row>
    <row r="92" spans="1:6" x14ac:dyDescent="0.5">
      <c r="A92">
        <v>91</v>
      </c>
      <c r="B92">
        <v>5.5</v>
      </c>
      <c r="C92">
        <v>2.6</v>
      </c>
      <c r="D92">
        <v>4.4000000000000004</v>
      </c>
      <c r="E92">
        <v>1.2</v>
      </c>
      <c r="F92" t="s">
        <v>7</v>
      </c>
    </row>
    <row r="93" spans="1:6" x14ac:dyDescent="0.5">
      <c r="A93">
        <v>92</v>
      </c>
      <c r="B93">
        <v>6.1</v>
      </c>
      <c r="C93">
        <v>3</v>
      </c>
      <c r="D93">
        <v>4.5999999999999996</v>
      </c>
      <c r="E93">
        <v>1.4</v>
      </c>
      <c r="F93" t="s">
        <v>7</v>
      </c>
    </row>
    <row r="94" spans="1:6" x14ac:dyDescent="0.5">
      <c r="A94">
        <v>93</v>
      </c>
      <c r="B94">
        <v>5.8</v>
      </c>
      <c r="C94">
        <v>2.6</v>
      </c>
      <c r="D94">
        <v>4</v>
      </c>
      <c r="E94">
        <v>1.2</v>
      </c>
      <c r="F94" t="s">
        <v>7</v>
      </c>
    </row>
    <row r="95" spans="1:6" x14ac:dyDescent="0.5">
      <c r="A95">
        <v>94</v>
      </c>
      <c r="B95">
        <v>5</v>
      </c>
      <c r="C95">
        <v>2.2999999999999998</v>
      </c>
      <c r="D95">
        <v>3.3</v>
      </c>
      <c r="E95">
        <v>1</v>
      </c>
      <c r="F95" t="s">
        <v>7</v>
      </c>
    </row>
    <row r="96" spans="1:6" x14ac:dyDescent="0.5">
      <c r="A96">
        <v>95</v>
      </c>
      <c r="B96">
        <v>5.6</v>
      </c>
      <c r="C96">
        <v>2.7</v>
      </c>
      <c r="D96">
        <v>4.2</v>
      </c>
      <c r="E96">
        <v>1.3</v>
      </c>
      <c r="F96" t="s">
        <v>7</v>
      </c>
    </row>
    <row r="97" spans="1:6" x14ac:dyDescent="0.5">
      <c r="A97">
        <v>96</v>
      </c>
      <c r="B97">
        <v>5.7</v>
      </c>
      <c r="C97">
        <v>3</v>
      </c>
      <c r="D97">
        <v>4.2</v>
      </c>
      <c r="E97">
        <v>1.2</v>
      </c>
      <c r="F97" t="s">
        <v>7</v>
      </c>
    </row>
    <row r="98" spans="1:6" x14ac:dyDescent="0.5">
      <c r="A98">
        <v>97</v>
      </c>
      <c r="B98">
        <v>5.7</v>
      </c>
      <c r="C98">
        <v>2.9</v>
      </c>
      <c r="D98">
        <v>4.2</v>
      </c>
      <c r="E98">
        <v>1.3</v>
      </c>
      <c r="F98" t="s">
        <v>7</v>
      </c>
    </row>
    <row r="99" spans="1:6" x14ac:dyDescent="0.5">
      <c r="A99">
        <v>98</v>
      </c>
      <c r="B99">
        <v>6.2</v>
      </c>
      <c r="C99">
        <v>2.9</v>
      </c>
      <c r="D99">
        <v>4.3</v>
      </c>
      <c r="E99">
        <v>1.3</v>
      </c>
      <c r="F99" t="s">
        <v>7</v>
      </c>
    </row>
    <row r="100" spans="1:6" x14ac:dyDescent="0.5">
      <c r="A100">
        <v>99</v>
      </c>
      <c r="B100">
        <v>5.0999999999999996</v>
      </c>
      <c r="C100">
        <v>2.5</v>
      </c>
      <c r="D100">
        <v>3</v>
      </c>
      <c r="E100">
        <v>1.1000000000000001</v>
      </c>
      <c r="F100" t="s">
        <v>7</v>
      </c>
    </row>
    <row r="101" spans="1:6" x14ac:dyDescent="0.5">
      <c r="A101">
        <v>100</v>
      </c>
      <c r="B101">
        <v>5.7</v>
      </c>
      <c r="C101">
        <v>2.8</v>
      </c>
      <c r="D101">
        <v>4.0999999999999996</v>
      </c>
      <c r="E101">
        <v>1.3</v>
      </c>
      <c r="F101" t="s">
        <v>7</v>
      </c>
    </row>
    <row r="102" spans="1:6" x14ac:dyDescent="0.5">
      <c r="A102">
        <v>101</v>
      </c>
      <c r="B102">
        <v>6.3</v>
      </c>
      <c r="C102">
        <v>3.3</v>
      </c>
      <c r="D102">
        <v>6</v>
      </c>
      <c r="E102">
        <v>2.5</v>
      </c>
      <c r="F102" t="s">
        <v>8</v>
      </c>
    </row>
    <row r="103" spans="1:6" x14ac:dyDescent="0.5">
      <c r="A103">
        <v>102</v>
      </c>
      <c r="B103">
        <v>5.8</v>
      </c>
      <c r="C103">
        <v>2.7</v>
      </c>
      <c r="D103">
        <v>5.0999999999999996</v>
      </c>
      <c r="E103">
        <v>1.9</v>
      </c>
      <c r="F103" t="s">
        <v>8</v>
      </c>
    </row>
    <row r="104" spans="1:6" x14ac:dyDescent="0.5">
      <c r="A104">
        <v>103</v>
      </c>
      <c r="B104">
        <v>7.1</v>
      </c>
      <c r="C104">
        <v>3</v>
      </c>
      <c r="D104">
        <v>5.9</v>
      </c>
      <c r="E104">
        <v>2.1</v>
      </c>
      <c r="F104" t="s">
        <v>8</v>
      </c>
    </row>
    <row r="105" spans="1:6" x14ac:dyDescent="0.5">
      <c r="A105">
        <v>104</v>
      </c>
      <c r="B105">
        <v>6.3</v>
      </c>
      <c r="C105">
        <v>2.9</v>
      </c>
      <c r="D105">
        <v>5.6</v>
      </c>
      <c r="E105">
        <v>1.8</v>
      </c>
      <c r="F105" t="s">
        <v>8</v>
      </c>
    </row>
    <row r="106" spans="1:6" x14ac:dyDescent="0.5">
      <c r="A106">
        <v>105</v>
      </c>
      <c r="B106">
        <v>6.5</v>
      </c>
      <c r="C106">
        <v>3</v>
      </c>
      <c r="D106">
        <v>5.8</v>
      </c>
      <c r="E106">
        <v>2.2000000000000002</v>
      </c>
      <c r="F106" t="s">
        <v>8</v>
      </c>
    </row>
    <row r="107" spans="1:6" x14ac:dyDescent="0.5">
      <c r="A107">
        <v>106</v>
      </c>
      <c r="B107">
        <v>7.6</v>
      </c>
      <c r="C107">
        <v>3</v>
      </c>
      <c r="D107">
        <v>6.6</v>
      </c>
      <c r="E107">
        <v>2.1</v>
      </c>
      <c r="F107" t="s">
        <v>8</v>
      </c>
    </row>
    <row r="108" spans="1:6" x14ac:dyDescent="0.5">
      <c r="A108">
        <v>107</v>
      </c>
      <c r="B108">
        <v>4.9000000000000004</v>
      </c>
      <c r="C108">
        <v>2.5</v>
      </c>
      <c r="D108">
        <v>4.5</v>
      </c>
      <c r="E108">
        <v>1.7</v>
      </c>
      <c r="F108" t="s">
        <v>8</v>
      </c>
    </row>
    <row r="109" spans="1:6" x14ac:dyDescent="0.5">
      <c r="A109">
        <v>108</v>
      </c>
      <c r="B109">
        <v>7.3</v>
      </c>
      <c r="C109">
        <v>2.9</v>
      </c>
      <c r="D109">
        <v>6.3</v>
      </c>
      <c r="E109">
        <v>1.8</v>
      </c>
      <c r="F109" t="s">
        <v>8</v>
      </c>
    </row>
    <row r="110" spans="1:6" x14ac:dyDescent="0.5">
      <c r="A110">
        <v>109</v>
      </c>
      <c r="B110">
        <v>6.7</v>
      </c>
      <c r="C110">
        <v>2.5</v>
      </c>
      <c r="D110">
        <v>5.8</v>
      </c>
      <c r="E110">
        <v>1.8</v>
      </c>
      <c r="F110" t="s">
        <v>8</v>
      </c>
    </row>
    <row r="111" spans="1:6" x14ac:dyDescent="0.5">
      <c r="A111">
        <v>110</v>
      </c>
      <c r="B111">
        <v>7.2</v>
      </c>
      <c r="C111">
        <v>3.6</v>
      </c>
      <c r="D111">
        <v>6.1</v>
      </c>
      <c r="E111">
        <v>2.5</v>
      </c>
      <c r="F111" t="s">
        <v>8</v>
      </c>
    </row>
    <row r="112" spans="1:6" x14ac:dyDescent="0.5">
      <c r="A112">
        <v>111</v>
      </c>
      <c r="B112">
        <v>6.5</v>
      </c>
      <c r="C112">
        <v>3.2</v>
      </c>
      <c r="D112">
        <v>5.0999999999999996</v>
      </c>
      <c r="E112">
        <v>2</v>
      </c>
      <c r="F112" t="s">
        <v>8</v>
      </c>
    </row>
    <row r="113" spans="1:6" x14ac:dyDescent="0.5">
      <c r="A113">
        <v>112</v>
      </c>
      <c r="B113">
        <v>6.4</v>
      </c>
      <c r="C113">
        <v>2.7</v>
      </c>
      <c r="D113">
        <v>5.3</v>
      </c>
      <c r="E113">
        <v>1.9</v>
      </c>
      <c r="F113" t="s">
        <v>8</v>
      </c>
    </row>
    <row r="114" spans="1:6" x14ac:dyDescent="0.5">
      <c r="A114">
        <v>113</v>
      </c>
      <c r="B114">
        <v>6.8</v>
      </c>
      <c r="C114">
        <v>3</v>
      </c>
      <c r="D114">
        <v>5.5</v>
      </c>
      <c r="E114">
        <v>2.1</v>
      </c>
      <c r="F114" t="s">
        <v>8</v>
      </c>
    </row>
    <row r="115" spans="1:6" x14ac:dyDescent="0.5">
      <c r="A115">
        <v>114</v>
      </c>
      <c r="B115">
        <v>5.7</v>
      </c>
      <c r="C115">
        <v>2.5</v>
      </c>
      <c r="D115">
        <v>5</v>
      </c>
      <c r="E115">
        <v>2</v>
      </c>
      <c r="F115" t="s">
        <v>8</v>
      </c>
    </row>
    <row r="116" spans="1:6" x14ac:dyDescent="0.5">
      <c r="A116">
        <v>115</v>
      </c>
      <c r="B116">
        <v>5.8</v>
      </c>
      <c r="C116">
        <v>2.8</v>
      </c>
      <c r="D116">
        <v>5.0999999999999996</v>
      </c>
      <c r="E116">
        <v>2.4</v>
      </c>
      <c r="F116" t="s">
        <v>8</v>
      </c>
    </row>
    <row r="117" spans="1:6" x14ac:dyDescent="0.5">
      <c r="A117">
        <v>116</v>
      </c>
      <c r="B117">
        <v>6.4</v>
      </c>
      <c r="C117">
        <v>3.2</v>
      </c>
      <c r="D117">
        <v>5.3</v>
      </c>
      <c r="E117">
        <v>2.2999999999999998</v>
      </c>
      <c r="F117" t="s">
        <v>8</v>
      </c>
    </row>
    <row r="118" spans="1:6" x14ac:dyDescent="0.5">
      <c r="A118">
        <v>117</v>
      </c>
      <c r="B118">
        <v>6.5</v>
      </c>
      <c r="C118">
        <v>3</v>
      </c>
      <c r="D118">
        <v>5.5</v>
      </c>
      <c r="E118">
        <v>1.8</v>
      </c>
      <c r="F118" t="s">
        <v>8</v>
      </c>
    </row>
    <row r="119" spans="1:6" x14ac:dyDescent="0.5">
      <c r="A119">
        <v>118</v>
      </c>
      <c r="B119">
        <v>7.7</v>
      </c>
      <c r="C119">
        <v>3.8</v>
      </c>
      <c r="D119">
        <v>6.7</v>
      </c>
      <c r="E119">
        <v>2.2000000000000002</v>
      </c>
      <c r="F119" t="s">
        <v>8</v>
      </c>
    </row>
    <row r="120" spans="1:6" x14ac:dyDescent="0.5">
      <c r="A120">
        <v>119</v>
      </c>
      <c r="B120">
        <v>7.7</v>
      </c>
      <c r="C120">
        <v>2.6</v>
      </c>
      <c r="D120">
        <v>6.9</v>
      </c>
      <c r="E120">
        <v>2.2999999999999998</v>
      </c>
      <c r="F120" t="s">
        <v>8</v>
      </c>
    </row>
    <row r="121" spans="1:6" x14ac:dyDescent="0.5">
      <c r="A121">
        <v>120</v>
      </c>
      <c r="B121">
        <v>6</v>
      </c>
      <c r="C121">
        <v>2.2000000000000002</v>
      </c>
      <c r="D121">
        <v>5</v>
      </c>
      <c r="E121">
        <v>1.5</v>
      </c>
      <c r="F121" t="s">
        <v>8</v>
      </c>
    </row>
    <row r="122" spans="1:6" x14ac:dyDescent="0.5">
      <c r="A122">
        <v>121</v>
      </c>
      <c r="B122">
        <v>6.9</v>
      </c>
      <c r="C122">
        <v>3.2</v>
      </c>
      <c r="D122">
        <v>5.7</v>
      </c>
      <c r="E122">
        <v>2.2999999999999998</v>
      </c>
      <c r="F122" t="s">
        <v>8</v>
      </c>
    </row>
    <row r="123" spans="1:6" x14ac:dyDescent="0.5">
      <c r="A123">
        <v>122</v>
      </c>
      <c r="B123">
        <v>5.6</v>
      </c>
      <c r="C123">
        <v>2.8</v>
      </c>
      <c r="D123">
        <v>4.9000000000000004</v>
      </c>
      <c r="E123">
        <v>2</v>
      </c>
      <c r="F123" t="s">
        <v>8</v>
      </c>
    </row>
    <row r="124" spans="1:6" x14ac:dyDescent="0.5">
      <c r="A124">
        <v>123</v>
      </c>
      <c r="B124">
        <v>7.7</v>
      </c>
      <c r="C124">
        <v>2.8</v>
      </c>
      <c r="D124">
        <v>6.7</v>
      </c>
      <c r="E124">
        <v>2</v>
      </c>
      <c r="F124" t="s">
        <v>8</v>
      </c>
    </row>
    <row r="125" spans="1:6" x14ac:dyDescent="0.5">
      <c r="A125">
        <v>124</v>
      </c>
      <c r="B125">
        <v>6.3</v>
      </c>
      <c r="C125">
        <v>2.7</v>
      </c>
      <c r="D125">
        <v>4.9000000000000004</v>
      </c>
      <c r="E125">
        <v>1.8</v>
      </c>
      <c r="F125" t="s">
        <v>8</v>
      </c>
    </row>
    <row r="126" spans="1:6" x14ac:dyDescent="0.5">
      <c r="A126">
        <v>125</v>
      </c>
      <c r="B126">
        <v>6.7</v>
      </c>
      <c r="C126">
        <v>3.3</v>
      </c>
      <c r="D126">
        <v>5.7</v>
      </c>
      <c r="E126">
        <v>2.1</v>
      </c>
      <c r="F126" t="s">
        <v>8</v>
      </c>
    </row>
    <row r="127" spans="1:6" x14ac:dyDescent="0.5">
      <c r="A127">
        <v>126</v>
      </c>
      <c r="B127">
        <v>7.2</v>
      </c>
      <c r="C127">
        <v>3.2</v>
      </c>
      <c r="D127">
        <v>6</v>
      </c>
      <c r="E127">
        <v>1.8</v>
      </c>
      <c r="F127" t="s">
        <v>8</v>
      </c>
    </row>
    <row r="128" spans="1:6" x14ac:dyDescent="0.5">
      <c r="A128">
        <v>127</v>
      </c>
      <c r="B128">
        <v>6.2</v>
      </c>
      <c r="C128">
        <v>2.8</v>
      </c>
      <c r="D128">
        <v>4.8</v>
      </c>
      <c r="E128">
        <v>1.8</v>
      </c>
      <c r="F128" t="s">
        <v>8</v>
      </c>
    </row>
    <row r="129" spans="1:6" x14ac:dyDescent="0.5">
      <c r="A129">
        <v>128</v>
      </c>
      <c r="B129">
        <v>6.1</v>
      </c>
      <c r="C129">
        <v>3</v>
      </c>
      <c r="D129">
        <v>4.9000000000000004</v>
      </c>
      <c r="E129">
        <v>1.8</v>
      </c>
      <c r="F129" t="s">
        <v>8</v>
      </c>
    </row>
    <row r="130" spans="1:6" x14ac:dyDescent="0.5">
      <c r="A130">
        <v>129</v>
      </c>
      <c r="B130">
        <v>6.4</v>
      </c>
      <c r="C130">
        <v>2.8</v>
      </c>
      <c r="D130">
        <v>5.6</v>
      </c>
      <c r="E130">
        <v>2.1</v>
      </c>
      <c r="F130" t="s">
        <v>8</v>
      </c>
    </row>
    <row r="131" spans="1:6" x14ac:dyDescent="0.5">
      <c r="A131">
        <v>130</v>
      </c>
      <c r="B131">
        <v>7.2</v>
      </c>
      <c r="C131">
        <v>3</v>
      </c>
      <c r="D131">
        <v>5.8</v>
      </c>
      <c r="E131">
        <v>1.6</v>
      </c>
      <c r="F131" t="s">
        <v>8</v>
      </c>
    </row>
    <row r="132" spans="1:6" x14ac:dyDescent="0.5">
      <c r="A132">
        <v>131</v>
      </c>
      <c r="B132">
        <v>7.4</v>
      </c>
      <c r="C132">
        <v>2.8</v>
      </c>
      <c r="D132">
        <v>6.1</v>
      </c>
      <c r="E132">
        <v>1.9</v>
      </c>
      <c r="F132" t="s">
        <v>8</v>
      </c>
    </row>
    <row r="133" spans="1:6" x14ac:dyDescent="0.5">
      <c r="A133">
        <v>132</v>
      </c>
      <c r="B133">
        <v>7.9</v>
      </c>
      <c r="C133">
        <v>3.8</v>
      </c>
      <c r="D133">
        <v>6.4</v>
      </c>
      <c r="E133">
        <v>2</v>
      </c>
      <c r="F133" t="s">
        <v>8</v>
      </c>
    </row>
    <row r="134" spans="1:6" x14ac:dyDescent="0.5">
      <c r="A134">
        <v>133</v>
      </c>
      <c r="B134">
        <v>6.4</v>
      </c>
      <c r="C134">
        <v>2.8</v>
      </c>
      <c r="D134">
        <v>5.6</v>
      </c>
      <c r="E134">
        <v>2.2000000000000002</v>
      </c>
      <c r="F134" t="s">
        <v>8</v>
      </c>
    </row>
    <row r="135" spans="1:6" x14ac:dyDescent="0.5">
      <c r="A135">
        <v>134</v>
      </c>
      <c r="B135">
        <v>6.3</v>
      </c>
      <c r="C135">
        <v>2.8</v>
      </c>
      <c r="D135">
        <v>5.0999999999999996</v>
      </c>
      <c r="E135">
        <v>1.5</v>
      </c>
      <c r="F135" t="s">
        <v>8</v>
      </c>
    </row>
    <row r="136" spans="1:6" x14ac:dyDescent="0.5">
      <c r="A136">
        <v>135</v>
      </c>
      <c r="B136">
        <v>6.1</v>
      </c>
      <c r="C136">
        <v>2.6</v>
      </c>
      <c r="D136">
        <v>5.6</v>
      </c>
      <c r="E136">
        <v>1.4</v>
      </c>
      <c r="F136" t="s">
        <v>8</v>
      </c>
    </row>
    <row r="137" spans="1:6" x14ac:dyDescent="0.5">
      <c r="A137">
        <v>136</v>
      </c>
      <c r="B137">
        <v>7.7</v>
      </c>
      <c r="C137">
        <v>3</v>
      </c>
      <c r="D137">
        <v>6.1</v>
      </c>
      <c r="E137">
        <v>2.2999999999999998</v>
      </c>
      <c r="F137" t="s">
        <v>8</v>
      </c>
    </row>
    <row r="138" spans="1:6" x14ac:dyDescent="0.5">
      <c r="A138">
        <v>137</v>
      </c>
      <c r="B138">
        <v>6.3</v>
      </c>
      <c r="C138">
        <v>3.4</v>
      </c>
      <c r="D138">
        <v>5.6</v>
      </c>
      <c r="E138">
        <v>2.4</v>
      </c>
      <c r="F138" t="s">
        <v>8</v>
      </c>
    </row>
    <row r="139" spans="1:6" x14ac:dyDescent="0.5">
      <c r="A139">
        <v>138</v>
      </c>
      <c r="B139">
        <v>6.4</v>
      </c>
      <c r="C139">
        <v>3.1</v>
      </c>
      <c r="D139">
        <v>5.5</v>
      </c>
      <c r="E139">
        <v>1.8</v>
      </c>
      <c r="F139" t="s">
        <v>8</v>
      </c>
    </row>
    <row r="140" spans="1:6" x14ac:dyDescent="0.5">
      <c r="A140">
        <v>139</v>
      </c>
      <c r="B140">
        <v>6</v>
      </c>
      <c r="C140">
        <v>3</v>
      </c>
      <c r="D140">
        <v>4.8</v>
      </c>
      <c r="E140">
        <v>1.8</v>
      </c>
      <c r="F140" t="s">
        <v>8</v>
      </c>
    </row>
    <row r="141" spans="1:6" x14ac:dyDescent="0.5">
      <c r="A141">
        <v>140</v>
      </c>
      <c r="B141">
        <v>6.9</v>
      </c>
      <c r="C141">
        <v>3.1</v>
      </c>
      <c r="D141">
        <v>5.4</v>
      </c>
      <c r="E141">
        <v>2.1</v>
      </c>
      <c r="F141" t="s">
        <v>8</v>
      </c>
    </row>
    <row r="142" spans="1:6" x14ac:dyDescent="0.5">
      <c r="A142">
        <v>141</v>
      </c>
      <c r="B142">
        <v>6.7</v>
      </c>
      <c r="C142">
        <v>3.1</v>
      </c>
      <c r="D142">
        <v>5.6</v>
      </c>
      <c r="E142">
        <v>2.4</v>
      </c>
      <c r="F142" t="s">
        <v>8</v>
      </c>
    </row>
    <row r="143" spans="1:6" x14ac:dyDescent="0.5">
      <c r="A143">
        <v>142</v>
      </c>
      <c r="B143">
        <v>6.9</v>
      </c>
      <c r="C143">
        <v>3.1</v>
      </c>
      <c r="D143">
        <v>5.0999999999999996</v>
      </c>
      <c r="E143">
        <v>2.2999999999999998</v>
      </c>
      <c r="F143" t="s">
        <v>8</v>
      </c>
    </row>
    <row r="144" spans="1:6" x14ac:dyDescent="0.5">
      <c r="A144">
        <v>143</v>
      </c>
      <c r="B144">
        <v>5.8</v>
      </c>
      <c r="C144">
        <v>2.7</v>
      </c>
      <c r="D144">
        <v>5.0999999999999996</v>
      </c>
      <c r="E144">
        <v>1.9</v>
      </c>
      <c r="F144" t="s">
        <v>8</v>
      </c>
    </row>
    <row r="145" spans="1:6" x14ac:dyDescent="0.5">
      <c r="A145">
        <v>144</v>
      </c>
      <c r="B145">
        <v>6.8</v>
      </c>
      <c r="C145">
        <v>3.2</v>
      </c>
      <c r="D145">
        <v>5.9</v>
      </c>
      <c r="E145">
        <v>2.2999999999999998</v>
      </c>
      <c r="F145" t="s">
        <v>8</v>
      </c>
    </row>
    <row r="146" spans="1:6" x14ac:dyDescent="0.5">
      <c r="A146">
        <v>145</v>
      </c>
      <c r="B146">
        <v>6.7</v>
      </c>
      <c r="C146">
        <v>3.3</v>
      </c>
      <c r="D146">
        <v>5.7</v>
      </c>
      <c r="E146">
        <v>2.5</v>
      </c>
      <c r="F146" t="s">
        <v>8</v>
      </c>
    </row>
    <row r="147" spans="1:6" x14ac:dyDescent="0.5">
      <c r="A147">
        <v>146</v>
      </c>
      <c r="B147">
        <v>6.7</v>
      </c>
      <c r="C147">
        <v>3</v>
      </c>
      <c r="D147">
        <v>5.2</v>
      </c>
      <c r="E147">
        <v>2.2999999999999998</v>
      </c>
      <c r="F147" t="s">
        <v>8</v>
      </c>
    </row>
    <row r="148" spans="1:6" x14ac:dyDescent="0.5">
      <c r="A148">
        <v>147</v>
      </c>
      <c r="B148">
        <v>6.3</v>
      </c>
      <c r="C148">
        <v>2.5</v>
      </c>
      <c r="D148">
        <v>5</v>
      </c>
      <c r="E148">
        <v>1.9</v>
      </c>
      <c r="F148" t="s">
        <v>8</v>
      </c>
    </row>
    <row r="149" spans="1:6" x14ac:dyDescent="0.5">
      <c r="A149">
        <v>148</v>
      </c>
      <c r="B149">
        <v>6.5</v>
      </c>
      <c r="C149">
        <v>3</v>
      </c>
      <c r="D149">
        <v>5.2</v>
      </c>
      <c r="E149">
        <v>2</v>
      </c>
      <c r="F149" t="s">
        <v>8</v>
      </c>
    </row>
    <row r="150" spans="1:6" x14ac:dyDescent="0.5">
      <c r="A150">
        <v>149</v>
      </c>
      <c r="B150">
        <v>6.2</v>
      </c>
      <c r="C150">
        <v>3.4</v>
      </c>
      <c r="D150">
        <v>5.4</v>
      </c>
      <c r="E150">
        <v>2.2999999999999998</v>
      </c>
      <c r="F150" t="s">
        <v>8</v>
      </c>
    </row>
    <row r="151" spans="1:6" x14ac:dyDescent="0.5">
      <c r="A151">
        <v>150</v>
      </c>
      <c r="B151">
        <v>5.9</v>
      </c>
      <c r="C151">
        <v>3</v>
      </c>
      <c r="D151">
        <v>5.0999999999999996</v>
      </c>
      <c r="E151">
        <v>1.8</v>
      </c>
      <c r="F151" t="s">
        <v>8</v>
      </c>
    </row>
  </sheetData>
  <mergeCells count="4">
    <mergeCell ref="O12:S12"/>
    <mergeCell ref="O21:S21"/>
    <mergeCell ref="U12:Y12"/>
    <mergeCell ref="U21:Y21"/>
  </mergeCells>
  <pageMargins left="0.7" right="0.7" top="0.75" bottom="0.75" header="0.3" footer="0.3"/>
  <pageSetup orientation="portrait"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A93A6-99D6-49B0-A131-AA1F0C5A1C8E}">
  <dimension ref="A1"/>
  <sheetViews>
    <sheetView workbookViewId="0"/>
  </sheetViews>
  <sheetFormatPr defaultRowHeight="14.35" x14ac:dyDescent="0.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CA0C8C-C550-43FE-8A7D-783C79899B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iris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Kania</dc:creator>
  <cp:lastModifiedBy>Gabriel Kania</cp:lastModifiedBy>
  <dcterms:created xsi:type="dcterms:W3CDTF">2025-01-16T19:55:06Z</dcterms:created>
  <dcterms:modified xsi:type="dcterms:W3CDTF">2025-01-17T15:45:34Z</dcterms:modified>
</cp:coreProperties>
</file>