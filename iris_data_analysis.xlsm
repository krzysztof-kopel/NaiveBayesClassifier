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7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8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Gorbiel\PycharmProjects\NaiveBayesClassifier\"/>
    </mc:Choice>
  </mc:AlternateContent>
  <xr:revisionPtr revIDLastSave="0" documentId="13_ncr:1_{A6BF7A2F-C1A9-403E-9855-D6D8410F4401}" xr6:coauthVersionLast="47" xr6:coauthVersionMax="47" xr10:uidLastSave="{00000000-0000-0000-0000-000000000000}"/>
  <bookViews>
    <workbookView xWindow="-93" yWindow="-93" windowWidth="25786" windowHeight="13986" xr2:uid="{3A14FC87-649A-4427-BBDA-76B4A039D95E}"/>
  </bookViews>
  <sheets>
    <sheet name="iris" sheetId="2" r:id="rId1"/>
    <sheet name="Arkusz1" sheetId="1" r:id="rId2"/>
  </sheets>
  <definedNames>
    <definedName name="_xlchart.v1.0" hidden="1">iris!$A$151:$E$151</definedName>
    <definedName name="_xlchart.v1.1" hidden="1">iris!$B$102:$B$151</definedName>
    <definedName name="_xlchart.v1.10" hidden="1">iris!$B$52:$B$101</definedName>
    <definedName name="_xlchart.v1.11" hidden="1">iris!$C$102:$C$151</definedName>
    <definedName name="_xlchart.v1.12" hidden="1">iris!$C$2:$C$51</definedName>
    <definedName name="_xlchart.v1.13" hidden="1">iris!$C$52:$C$101</definedName>
    <definedName name="_xlchart.v1.14" hidden="1">iris!$D$102:$D$151</definedName>
    <definedName name="_xlchart.v1.15" hidden="1">iris!$D$2:$D$51</definedName>
    <definedName name="_xlchart.v1.16" hidden="1">iris!$D$52:$D$101</definedName>
    <definedName name="_xlchart.v1.17" hidden="1">iris!$E$102:$E$151</definedName>
    <definedName name="_xlchart.v1.18" hidden="1">iris!$E$2:$E$51</definedName>
    <definedName name="_xlchart.v1.19" hidden="1">iris!$E$52:$E$101</definedName>
    <definedName name="_xlchart.v1.2" hidden="1">iris!$B$2:$B$151</definedName>
    <definedName name="_xlchart.v1.20" hidden="1">iris!$C$102:$C$151</definedName>
    <definedName name="_xlchart.v1.21" hidden="1">iris!$C$2:$C$51</definedName>
    <definedName name="_xlchart.v1.22" hidden="1">iris!$C$52:$C$101</definedName>
    <definedName name="_xlchart.v1.23" hidden="1">iris!$D$102:$D$151</definedName>
    <definedName name="_xlchart.v1.24" hidden="1">iris!$D$2:$D$51</definedName>
    <definedName name="_xlchart.v1.25" hidden="1">iris!$D$52:$D$101</definedName>
    <definedName name="_xlchart.v1.26" hidden="1">iris!$B$1</definedName>
    <definedName name="_xlchart.v1.27" hidden="1">iris!$B$2:$B$151</definedName>
    <definedName name="_xlchart.v1.28" hidden="1">iris!$C$1</definedName>
    <definedName name="_xlchart.v1.29" hidden="1">iris!$C$2:$C$151</definedName>
    <definedName name="_xlchart.v1.3" hidden="1">iris!$B$2:$B$51</definedName>
    <definedName name="_xlchart.v1.30" hidden="1">iris!$D$102:$D$151</definedName>
    <definedName name="_xlchart.v1.31" hidden="1">iris!$D$2:$D$51</definedName>
    <definedName name="_xlchart.v1.32" hidden="1">iris!$D$52:$D$101</definedName>
    <definedName name="_xlchart.v1.33" hidden="1">iris!$E$102:$E$151</definedName>
    <definedName name="_xlchart.v1.34" hidden="1">iris!$E$2:$E$51</definedName>
    <definedName name="_xlchart.v1.35" hidden="1">iris!$E$52:$E$101</definedName>
    <definedName name="_xlchart.v1.36" hidden="1">iris!$E$1</definedName>
    <definedName name="_xlchart.v1.37" hidden="1">iris!$E$2:$E$151</definedName>
    <definedName name="_xlchart.v1.38" hidden="1">iris!$D$1</definedName>
    <definedName name="_xlchart.v1.39" hidden="1">iris!$D$2:$D$151</definedName>
    <definedName name="_xlchart.v1.4" hidden="1">iris!$B$52:$B$101</definedName>
    <definedName name="_xlchart.v1.5" hidden="1">iris!$C$2:$C$151</definedName>
    <definedName name="_xlchart.v1.6" hidden="1">iris!$F$151</definedName>
    <definedName name="_xlchart.v1.7" hidden="1">iris!$F$2:$F$150</definedName>
    <definedName name="_xlchart.v1.8" hidden="1">iris!$B$102:$B$151</definedName>
    <definedName name="_xlchart.v1.9" hidden="1">iris!$B$2:$B$51</definedName>
    <definedName name="_xleta.MIN" hidden="1" xlm="1">#NAME?</definedName>
    <definedName name="ExternalData_1" localSheetId="1" hidden="1">Arkusz1!$A$1:$C$151</definedName>
    <definedName name="ExternalData_1" localSheetId="0" hidden="1">iris!$A$1:$F$151</definedName>
  </definedNames>
  <calcPr calcId="191029"/>
  <pivotCaches>
    <pivotCache cacheId="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3" i="1" l="1"/>
  <c r="J104" i="1" s="1"/>
  <c r="J102" i="1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J2" i="2"/>
  <c r="K2" i="2"/>
  <c r="L2" i="2"/>
  <c r="M2" i="2"/>
  <c r="I2" i="2"/>
  <c r="J107" i="1" l="1"/>
  <c r="J108" i="1"/>
  <c r="D2" i="1" l="1"/>
  <c r="D22" i="1"/>
  <c r="D42" i="1"/>
  <c r="D62" i="1"/>
  <c r="D82" i="1"/>
  <c r="D102" i="1"/>
  <c r="D122" i="1"/>
  <c r="D142" i="1"/>
  <c r="D23" i="1"/>
  <c r="D43" i="1"/>
  <c r="D63" i="1"/>
  <c r="D83" i="1"/>
  <c r="D103" i="1"/>
  <c r="D123" i="1"/>
  <c r="D143" i="1"/>
  <c r="D24" i="1"/>
  <c r="D44" i="1"/>
  <c r="D64" i="1"/>
  <c r="D84" i="1"/>
  <c r="D104" i="1"/>
  <c r="D124" i="1"/>
  <c r="D144" i="1"/>
  <c r="D25" i="1"/>
  <c r="D45" i="1"/>
  <c r="D65" i="1"/>
  <c r="D85" i="1"/>
  <c r="D105" i="1"/>
  <c r="D125" i="1"/>
  <c r="D145" i="1"/>
  <c r="D26" i="1"/>
  <c r="D46" i="1"/>
  <c r="D66" i="1"/>
  <c r="D86" i="1"/>
  <c r="D106" i="1"/>
  <c r="D126" i="1"/>
  <c r="D146" i="1"/>
  <c r="D47" i="1"/>
  <c r="D67" i="1"/>
  <c r="D127" i="1"/>
  <c r="D8" i="1"/>
  <c r="D128" i="1"/>
  <c r="D49" i="1"/>
  <c r="D109" i="1"/>
  <c r="D149" i="1"/>
  <c r="D30" i="1"/>
  <c r="D90" i="1"/>
  <c r="D11" i="1"/>
  <c r="D91" i="1"/>
  <c r="D14" i="1"/>
  <c r="D74" i="1"/>
  <c r="D114" i="1"/>
  <c r="D3" i="1"/>
  <c r="D7" i="1"/>
  <c r="D107" i="1"/>
  <c r="D48" i="1"/>
  <c r="D108" i="1"/>
  <c r="D19" i="1"/>
  <c r="D80" i="1"/>
  <c r="D41" i="1"/>
  <c r="D141" i="1"/>
  <c r="D4" i="1"/>
  <c r="D28" i="1"/>
  <c r="D88" i="1"/>
  <c r="D9" i="1"/>
  <c r="D69" i="1"/>
  <c r="D129" i="1"/>
  <c r="D50" i="1"/>
  <c r="D130" i="1"/>
  <c r="D31" i="1"/>
  <c r="D131" i="1"/>
  <c r="D5" i="1"/>
  <c r="D27" i="1"/>
  <c r="D87" i="1"/>
  <c r="D147" i="1"/>
  <c r="D68" i="1"/>
  <c r="D148" i="1"/>
  <c r="D29" i="1"/>
  <c r="D89" i="1"/>
  <c r="D10" i="1"/>
  <c r="D70" i="1"/>
  <c r="D110" i="1"/>
  <c r="D150" i="1"/>
  <c r="D51" i="1"/>
  <c r="D111" i="1"/>
  <c r="D151" i="1"/>
  <c r="D132" i="1"/>
  <c r="D34" i="1"/>
  <c r="D94" i="1"/>
  <c r="D15" i="1"/>
  <c r="D55" i="1"/>
  <c r="D75" i="1"/>
  <c r="D135" i="1"/>
  <c r="D16" i="1"/>
  <c r="D56" i="1"/>
  <c r="D76" i="1"/>
  <c r="D116" i="1"/>
  <c r="D6" i="1"/>
  <c r="D115" i="1"/>
  <c r="D36" i="1"/>
  <c r="D96" i="1"/>
  <c r="D136" i="1"/>
  <c r="D77" i="1"/>
  <c r="D137" i="1"/>
  <c r="D38" i="1"/>
  <c r="D78" i="1"/>
  <c r="D138" i="1"/>
  <c r="D79" i="1"/>
  <c r="D139" i="1"/>
  <c r="D40" i="1"/>
  <c r="D61" i="1"/>
  <c r="D121" i="1"/>
  <c r="D118" i="1"/>
  <c r="D120" i="1"/>
  <c r="D71" i="1"/>
  <c r="D97" i="1"/>
  <c r="D18" i="1"/>
  <c r="D59" i="1"/>
  <c r="D99" i="1"/>
  <c r="D20" i="1"/>
  <c r="D140" i="1"/>
  <c r="D81" i="1"/>
  <c r="D12" i="1"/>
  <c r="D32" i="1"/>
  <c r="D52" i="1"/>
  <c r="D72" i="1"/>
  <c r="D92" i="1"/>
  <c r="D112" i="1"/>
  <c r="D13" i="1"/>
  <c r="D33" i="1"/>
  <c r="D53" i="1"/>
  <c r="D73" i="1"/>
  <c r="D93" i="1"/>
  <c r="D113" i="1"/>
  <c r="D133" i="1"/>
  <c r="D54" i="1"/>
  <c r="D134" i="1"/>
  <c r="D35" i="1"/>
  <c r="D95" i="1"/>
  <c r="D17" i="1"/>
  <c r="D37" i="1"/>
  <c r="D57" i="1"/>
  <c r="D117" i="1"/>
  <c r="D58" i="1"/>
  <c r="D98" i="1"/>
  <c r="D39" i="1"/>
  <c r="D119" i="1"/>
  <c r="D60" i="1"/>
  <c r="D100" i="1"/>
  <c r="D21" i="1"/>
  <c r="D10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17F377-F091-4D7D-A4F8-19F849E1B5D0}" keepAlive="1" name="Zapytanie — iris" description="Połączenie z zapytaniem „iris” w skoroszycie." type="5" refreshedVersion="8" background="1" saveData="1">
    <dbPr connection="Provider=Microsoft.Mashup.OleDb.1;Data Source=$Workbook$;Location=iris;Extended Properties=&quot;&quot;" command="SELECT * FROM [iris]"/>
  </connection>
  <connection id="2" xr16:uid="{F7A5CFA7-E1BD-4F11-B6F9-5EF29CDDA6E5}" keepAlive="1" name="Zapytanie — iris (2)" description="Połączenie z zapytaniem „iris (2)” w skoroszycie." type="5" refreshedVersion="8" background="1" saveData="1">
    <dbPr connection="Provider=Microsoft.Mashup.OleDb.1;Data Source=$Workbook$;Location=&quot;iris (2)&quot;;Extended Properties=&quot;&quot;" command="SELECT * FROM [iris (2)]"/>
  </connection>
</connections>
</file>

<file path=xl/sharedStrings.xml><?xml version="1.0" encoding="utf-8"?>
<sst xmlns="http://schemas.openxmlformats.org/spreadsheetml/2006/main" count="380" uniqueCount="29">
  <si>
    <t>Id</t>
  </si>
  <si>
    <t>SepalLengthCm</t>
  </si>
  <si>
    <t>SepalWidthCm</t>
  </si>
  <si>
    <t>PetalLengthCm</t>
  </si>
  <si>
    <t>PetalWidthCm</t>
  </si>
  <si>
    <t>Species</t>
  </si>
  <si>
    <t>Iris-setosa</t>
  </si>
  <si>
    <t>Iris-versicolor</t>
  </si>
  <si>
    <t>Iris-virginica</t>
  </si>
  <si>
    <t>Puste komórki</t>
  </si>
  <si>
    <t>Średnia</t>
  </si>
  <si>
    <t>Mediana</t>
  </si>
  <si>
    <t>Minimum</t>
  </si>
  <si>
    <t>Maksimum</t>
  </si>
  <si>
    <t>Odchylenie Standardowe</t>
  </si>
  <si>
    <t>Liczebność</t>
  </si>
  <si>
    <t>Gatunek</t>
  </si>
  <si>
    <t>Wartości</t>
  </si>
  <si>
    <t>Odchylenie standardowe</t>
  </si>
  <si>
    <t>Wariancja</t>
  </si>
  <si>
    <t>SepalLenghtCm</t>
  </si>
  <si>
    <t>Wszystkie</t>
  </si>
  <si>
    <t>Q1</t>
  </si>
  <si>
    <t>Q3</t>
  </si>
  <si>
    <t>IQR</t>
  </si>
  <si>
    <t>Granice</t>
  </si>
  <si>
    <t>Dolna</t>
  </si>
  <si>
    <t>Górna</t>
  </si>
  <si>
    <t>Kolumna1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</si>
</sst>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Alignment="1">
      <alignment horizontal="center"/>
    </xf>
  </cellXfs>
  <cellStyles count="1">
    <cellStyle name="Normalny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Rozkład SepalLength</a:t>
            </a:r>
            <a:endPara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clusteredColumn" uniqueId="{87A5F4B0-A889-4BB3-9420-5B8EDF5E7872}">
          <cx:tx>
            <cx:txData>
              <cx:f>_xlchart.v1.26</cx:f>
              <cx:v>SepalLengthCm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_xlchart.v1.29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Rozkład SepalWidth</a:t>
            </a:r>
            <a:endPara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clusteredColumn" uniqueId="{A1E8508C-8807-495F-BEC2-07B8471A330D}">
          <cx:tx>
            <cx:txData>
              <cx:f>_xlchart.v1.28</cx:f>
              <cx:v>SepalWidthCm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_xlchart.v1.39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Rozkład PetalLength</a:t>
            </a:r>
            <a:endPara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clusteredColumn" uniqueId="{23B965E2-BEFA-4BAD-9B14-3FDDBB512431}">
          <cx:tx>
            <cx:txData>
              <cx:f>_xlchart.v1.38</cx:f>
              <cx:v>PetalLengthCm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Rozkład PetalWidth</a:t>
            </a:r>
            <a:endPara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clusteredColumn" uniqueId="{B000E8B1-BF74-417E-8E70-3925E66AFF39}">
          <cx:tx>
            <cx:txData>
              <cx:f>_xlchart.v1.36</cx:f>
              <cx:v>PetalWidthCm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numDim type="val">
        <cx:f>_xlchart.v1.4</cx:f>
      </cx:numDim>
    </cx:data>
    <cx:data id="2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Sepal Length</a:t>
            </a:r>
            <a:endPara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boxWhisker" uniqueId="{00000003-D72E-4237-933F-F507B4975B30}">
          <cx:tx>
            <cx:txData>
              <cx:v>Iris-setosa</cx:v>
            </cx:txData>
          </cx:tx>
          <cx:dataId val="0"/>
          <cx:layoutPr>
            <cx:statistics quartileMethod="exclusive"/>
          </cx:layoutPr>
        </cx:series>
        <cx:series layoutId="boxWhisker" uniqueId="{00000004-D72E-4237-933F-F507B4975B30}">
          <cx:tx>
            <cx:txData>
              <cx:v>Iris-versicolor</cx:v>
            </cx:txData>
          </cx:tx>
          <cx:dataId val="1"/>
          <cx:layoutPr>
            <cx:statistics quartileMethod="exclusive"/>
          </cx:layoutPr>
        </cx:series>
        <cx:series layoutId="boxWhisker" uniqueId="{00000005-D72E-4237-933F-F507B4975B30}">
          <cx:tx>
            <cx:txData>
              <cx:v>Iris-virginica</cx:v>
            </cx:txData>
          </cx:tx>
          <cx:dataId val="2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8" min="4"/>
        <cx:majorGridlines/>
        <cx:tickLabels/>
        <cx:numFmt formatCode="#,##0.0" sourceLinked="0"/>
      </cx:axis>
    </cx:plotArea>
    <cx:legend pos="t" align="ctr" overlay="0"/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  <cx:data id="1">
      <cx:numDim type="val">
        <cx:f>_xlchart.v1.13</cx:f>
      </cx:numDim>
    </cx:data>
    <cx:data id="2">
      <cx:numDim type="val">
        <cx:f>_xlchart.v1.11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Sepal Width</a:t>
            </a:r>
            <a:endPara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boxWhisker" uniqueId="{00000003-D72E-4237-933F-F507B4975B30}">
          <cx:tx>
            <cx:txData>
              <cx:f/>
              <cx:v>Iris-setosa</cx:v>
            </cx:txData>
          </cx:tx>
          <cx:dataId val="0"/>
          <cx:layoutPr>
            <cx:statistics quartileMethod="exclusive"/>
          </cx:layoutPr>
        </cx:series>
        <cx:series layoutId="boxWhisker" uniqueId="{00000004-D72E-4237-933F-F507B4975B30}">
          <cx:tx>
            <cx:txData>
              <cx:f/>
              <cx:v>Iris-versicolor</cx:v>
            </cx:txData>
          </cx:tx>
          <cx:dataId val="1"/>
          <cx:layoutPr>
            <cx:statistics quartileMethod="exclusive"/>
          </cx:layoutPr>
        </cx:series>
        <cx:series layoutId="boxWhisker" uniqueId="{00000005-D72E-4237-933F-F507B4975B30}">
          <cx:tx>
            <cx:txData>
              <cx:f/>
              <cx:v>Iris-virginica</cx:v>
            </cx:txData>
          </cx:tx>
          <cx:dataId val="2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4.5" min="1.5"/>
        <cx:majorGridlines/>
        <cx:tickLabels/>
        <cx:numFmt formatCode="#,##0.0" sourceLinked="0"/>
      </cx:axis>
    </cx:plotArea>
    <cx:legend pos="t" align="ctr" overlay="0"/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_xlchart.v1.24</cx:f>
      </cx:numDim>
    </cx:data>
    <cx:data id="1">
      <cx:numDim type="val">
        <cx:f>_xlchart.v1.25</cx:f>
      </cx:numDim>
    </cx:data>
    <cx:data id="2">
      <cx:numDim type="val">
        <cx:f>_xlchart.v1.23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Petal Length</a:t>
            </a:r>
            <a:endPara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boxWhisker" uniqueId="{00000003-D72E-4237-933F-F507B4975B30}">
          <cx:tx>
            <cx:txData>
              <cx:f/>
              <cx:v>Iris-setosa</cx:v>
            </cx:txData>
          </cx:tx>
          <cx:dataId val="0"/>
          <cx:layoutPr>
            <cx:statistics quartileMethod="exclusive"/>
          </cx:layoutPr>
        </cx:series>
        <cx:series layoutId="boxWhisker" uniqueId="{00000004-D72E-4237-933F-F507B4975B30}">
          <cx:tx>
            <cx:txData>
              <cx:f/>
              <cx:v>Iris-versicolor</cx:v>
            </cx:txData>
          </cx:tx>
          <cx:dataId val="1"/>
          <cx:layoutPr>
            <cx:statistics quartileMethod="exclusive"/>
          </cx:layoutPr>
        </cx:series>
        <cx:series layoutId="boxWhisker" uniqueId="{00000005-D72E-4237-933F-F507B4975B30}">
          <cx:tx>
            <cx:txData>
              <cx:f/>
              <cx:v>Iris-virginica</cx:v>
            </cx:txData>
          </cx:tx>
          <cx:dataId val="2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 max="7.5" min="0.5"/>
        <cx:majorGridlines/>
        <cx:tickLabels/>
        <cx:numFmt formatCode="#,##0.0" sourceLinked="0"/>
      </cx:axis>
    </cx:plotArea>
    <cx:legend pos="t" align="ctr" overlay="0"/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</cx:f>
      </cx:numDim>
    </cx:data>
    <cx:data id="1">
      <cx:numDim type="val">
        <cx:f>_xlchart.v1.19</cx:f>
      </cx:numDim>
    </cx:data>
    <cx:data id="2">
      <cx:numDim type="val">
        <cx:f>_xlchart.v1.17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Petal Width</a:t>
            </a:r>
            <a:endPara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boxWhisker" uniqueId="{00000003-D72E-4237-933F-F507B4975B30}">
          <cx:tx>
            <cx:txData>
              <cx:f/>
              <cx:v>Iris-setosa</cx:v>
            </cx:txData>
          </cx:tx>
          <cx:dataId val="0"/>
          <cx:layoutPr>
            <cx:statistics quartileMethod="exclusive"/>
          </cx:layoutPr>
        </cx:series>
        <cx:series layoutId="boxWhisker" uniqueId="{00000004-D72E-4237-933F-F507B4975B30}">
          <cx:tx>
            <cx:txData>
              <cx:f/>
              <cx:v>Iris-versicolor</cx:v>
            </cx:txData>
          </cx:tx>
          <cx:dataId val="1"/>
          <cx:layoutPr>
            <cx:statistics quartileMethod="exclusive"/>
          </cx:layoutPr>
        </cx:series>
        <cx:series layoutId="boxWhisker" uniqueId="{00000005-D72E-4237-933F-F507B4975B30}">
          <cx:tx>
            <cx:txData>
              <cx:f/>
              <cx:v>Iris-virginica</cx:v>
            </cx:txData>
          </cx:tx>
          <cx:dataId val="2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  <cx:numFmt formatCode="#,##0.0" sourceLinked="0"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3" Type="http://schemas.microsoft.com/office/2014/relationships/chartEx" Target="../charts/chartEx3.xml"/><Relationship Id="rId7" Type="http://schemas.microsoft.com/office/2014/relationships/chartEx" Target="../charts/chartEx7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23282</xdr:colOff>
      <xdr:row>125</xdr:row>
      <xdr:rowOff>8465</xdr:rowOff>
    </xdr:from>
    <xdr:to>
      <xdr:col>11</xdr:col>
      <xdr:colOff>357715</xdr:colOff>
      <xdr:row>140</xdr:row>
      <xdr:rowOff>21165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ykres 1">
              <a:extLst>
                <a:ext uri="{FF2B5EF4-FFF2-40B4-BE49-F238E27FC236}">
                  <a16:creationId xmlns:a16="http://schemas.microsoft.com/office/drawing/2014/main" id="{D4754755-FE20-193D-730A-DA0BEF81D1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47882" y="2276263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11</xdr:col>
      <xdr:colOff>552448</xdr:colOff>
      <xdr:row>125</xdr:row>
      <xdr:rowOff>8466</xdr:rowOff>
    </xdr:from>
    <xdr:to>
      <xdr:col>17</xdr:col>
      <xdr:colOff>294215</xdr:colOff>
      <xdr:row>140</xdr:row>
      <xdr:rowOff>21166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Wykres 2">
              <a:extLst>
                <a:ext uri="{FF2B5EF4-FFF2-40B4-BE49-F238E27FC236}">
                  <a16:creationId xmlns:a16="http://schemas.microsoft.com/office/drawing/2014/main" id="{89462DB0-9953-7A7C-3B2C-FEB372D2A7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14615" y="22762633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7</xdr:col>
      <xdr:colOff>21167</xdr:colOff>
      <xdr:row>141</xdr:row>
      <xdr:rowOff>101599</xdr:rowOff>
    </xdr:from>
    <xdr:to>
      <xdr:col>11</xdr:col>
      <xdr:colOff>355600</xdr:colOff>
      <xdr:row>156</xdr:row>
      <xdr:rowOff>114299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Wykres 3">
              <a:extLst>
                <a:ext uri="{FF2B5EF4-FFF2-40B4-BE49-F238E27FC236}">
                  <a16:creationId xmlns:a16="http://schemas.microsoft.com/office/drawing/2014/main" id="{F99B67A8-E409-D098-59FB-19B5F02688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45767" y="25768299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11</xdr:col>
      <xdr:colOff>558800</xdr:colOff>
      <xdr:row>141</xdr:row>
      <xdr:rowOff>110066</xdr:rowOff>
    </xdr:from>
    <xdr:to>
      <xdr:col>17</xdr:col>
      <xdr:colOff>300567</xdr:colOff>
      <xdr:row>156</xdr:row>
      <xdr:rowOff>122766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Wykres 4">
              <a:extLst>
                <a:ext uri="{FF2B5EF4-FFF2-40B4-BE49-F238E27FC236}">
                  <a16:creationId xmlns:a16="http://schemas.microsoft.com/office/drawing/2014/main" id="{8E914AFB-2E7B-ECE4-47A6-E58DB26891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20967" y="25776766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7</xdr:col>
      <xdr:colOff>213785</xdr:colOff>
      <xdr:row>92</xdr:row>
      <xdr:rowOff>19052</xdr:rowOff>
    </xdr:from>
    <xdr:to>
      <xdr:col>11</xdr:col>
      <xdr:colOff>550334</xdr:colOff>
      <xdr:row>107</xdr:row>
      <xdr:rowOff>31752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Wykres 7">
              <a:extLst>
                <a:ext uri="{FF2B5EF4-FFF2-40B4-BE49-F238E27FC236}">
                  <a16:creationId xmlns:a16="http://schemas.microsoft.com/office/drawing/2014/main" id="{218AC6AD-1F92-F641-FD75-0668DC7D2F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2618" y="16571385"/>
              <a:ext cx="4569884" cy="2711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91</xdr:row>
      <xdr:rowOff>169333</xdr:rowOff>
    </xdr:from>
    <xdr:to>
      <xdr:col>18</xdr:col>
      <xdr:colOff>354692</xdr:colOff>
      <xdr:row>107</xdr:row>
      <xdr:rowOff>604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Wykres 8">
              <a:extLst>
                <a:ext uri="{FF2B5EF4-FFF2-40B4-BE49-F238E27FC236}">
                  <a16:creationId xmlns:a16="http://schemas.microsoft.com/office/drawing/2014/main" id="{11202066-FBD4-4E2B-B9C0-0C000AE7DF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25904" y="16679333"/>
              <a:ext cx="4575931" cy="27341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7</xdr:col>
      <xdr:colOff>206145</xdr:colOff>
      <xdr:row>108</xdr:row>
      <xdr:rowOff>51536</xdr:rowOff>
    </xdr:from>
    <xdr:to>
      <xdr:col>11</xdr:col>
      <xdr:colOff>546112</xdr:colOff>
      <xdr:row>123</xdr:row>
      <xdr:rowOff>63184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Wykres 9">
              <a:extLst>
                <a:ext uri="{FF2B5EF4-FFF2-40B4-BE49-F238E27FC236}">
                  <a16:creationId xmlns:a16="http://schemas.microsoft.com/office/drawing/2014/main" id="{ADD510F5-692C-4F36-8646-AD742FA8A6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4058" y="19532232"/>
              <a:ext cx="4580663" cy="271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13</xdr:col>
      <xdr:colOff>22087</xdr:colOff>
      <xdr:row>108</xdr:row>
      <xdr:rowOff>58898</xdr:rowOff>
    </xdr:from>
    <xdr:to>
      <xdr:col>18</xdr:col>
      <xdr:colOff>376779</xdr:colOff>
      <xdr:row>123</xdr:row>
      <xdr:rowOff>70546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Wykres 10">
              <a:extLst>
                <a:ext uri="{FF2B5EF4-FFF2-40B4-BE49-F238E27FC236}">
                  <a16:creationId xmlns:a16="http://schemas.microsoft.com/office/drawing/2014/main" id="{14D53B90-F9AB-4680-ACE6-D8A451F44A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56406" y="19539594"/>
              <a:ext cx="4580663" cy="271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rbiel" refreshedDate="45673.912430555552" createdVersion="8" refreshedVersion="8" minRefreshableVersion="3" recordCount="150" xr:uid="{33E3B154-FFD8-4865-A060-01573892D3C0}">
  <cacheSource type="worksheet">
    <worksheetSource name="iris"/>
  </cacheSource>
  <cacheFields count="6">
    <cacheField name="Id" numFmtId="0">
      <sharedItems containsSemiMixedTypes="0" containsString="0" containsNumber="1" containsInteger="1" minValue="1" maxValue="150" count="1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</sharedItems>
    </cacheField>
    <cacheField name="SepalLengthCm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WidthCm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LengthCm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WidthCm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Iris-setosa"/>
        <s v="Iris-versicolor"/>
        <s v="Iris-virginica"/>
      </sharedItems>
    </cacheField>
  </cacheFields>
  <extLst>
    <ext xmlns:x14="http://schemas.microsoft.com/office/spreadsheetml/2009/9/main" uri="{725AE2AE-9491-48be-B2B4-4EB974FC3084}">
      <x14:pivotCacheDefinition pivotCacheId="110060138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  <x v="0"/>
    <x v="0"/>
    <x v="0"/>
    <x v="0"/>
  </r>
  <r>
    <x v="1"/>
    <x v="1"/>
    <x v="1"/>
    <x v="0"/>
    <x v="0"/>
    <x v="0"/>
  </r>
  <r>
    <x v="2"/>
    <x v="2"/>
    <x v="2"/>
    <x v="1"/>
    <x v="0"/>
    <x v="0"/>
  </r>
  <r>
    <x v="3"/>
    <x v="3"/>
    <x v="3"/>
    <x v="2"/>
    <x v="0"/>
    <x v="0"/>
  </r>
  <r>
    <x v="4"/>
    <x v="4"/>
    <x v="4"/>
    <x v="0"/>
    <x v="0"/>
    <x v="0"/>
  </r>
  <r>
    <x v="5"/>
    <x v="5"/>
    <x v="5"/>
    <x v="3"/>
    <x v="1"/>
    <x v="0"/>
  </r>
  <r>
    <x v="6"/>
    <x v="3"/>
    <x v="6"/>
    <x v="0"/>
    <x v="2"/>
    <x v="0"/>
  </r>
  <r>
    <x v="7"/>
    <x v="4"/>
    <x v="6"/>
    <x v="2"/>
    <x v="0"/>
    <x v="0"/>
  </r>
  <r>
    <x v="8"/>
    <x v="6"/>
    <x v="7"/>
    <x v="0"/>
    <x v="0"/>
    <x v="0"/>
  </r>
  <r>
    <x v="9"/>
    <x v="1"/>
    <x v="3"/>
    <x v="2"/>
    <x v="3"/>
    <x v="0"/>
  </r>
  <r>
    <x v="10"/>
    <x v="5"/>
    <x v="8"/>
    <x v="2"/>
    <x v="0"/>
    <x v="0"/>
  </r>
  <r>
    <x v="11"/>
    <x v="7"/>
    <x v="6"/>
    <x v="4"/>
    <x v="0"/>
    <x v="0"/>
  </r>
  <r>
    <x v="12"/>
    <x v="7"/>
    <x v="1"/>
    <x v="0"/>
    <x v="3"/>
    <x v="0"/>
  </r>
  <r>
    <x v="13"/>
    <x v="8"/>
    <x v="1"/>
    <x v="5"/>
    <x v="3"/>
    <x v="0"/>
  </r>
  <r>
    <x v="14"/>
    <x v="9"/>
    <x v="9"/>
    <x v="6"/>
    <x v="0"/>
    <x v="0"/>
  </r>
  <r>
    <x v="15"/>
    <x v="10"/>
    <x v="10"/>
    <x v="2"/>
    <x v="1"/>
    <x v="0"/>
  </r>
  <r>
    <x v="16"/>
    <x v="5"/>
    <x v="5"/>
    <x v="1"/>
    <x v="1"/>
    <x v="0"/>
  </r>
  <r>
    <x v="17"/>
    <x v="0"/>
    <x v="0"/>
    <x v="0"/>
    <x v="2"/>
    <x v="0"/>
  </r>
  <r>
    <x v="18"/>
    <x v="10"/>
    <x v="11"/>
    <x v="3"/>
    <x v="2"/>
    <x v="0"/>
  </r>
  <r>
    <x v="19"/>
    <x v="0"/>
    <x v="11"/>
    <x v="2"/>
    <x v="2"/>
    <x v="0"/>
  </r>
  <r>
    <x v="20"/>
    <x v="5"/>
    <x v="6"/>
    <x v="3"/>
    <x v="0"/>
    <x v="0"/>
  </r>
  <r>
    <x v="21"/>
    <x v="0"/>
    <x v="8"/>
    <x v="2"/>
    <x v="1"/>
    <x v="0"/>
  </r>
  <r>
    <x v="22"/>
    <x v="3"/>
    <x v="4"/>
    <x v="7"/>
    <x v="0"/>
    <x v="0"/>
  </r>
  <r>
    <x v="23"/>
    <x v="0"/>
    <x v="12"/>
    <x v="3"/>
    <x v="4"/>
    <x v="0"/>
  </r>
  <r>
    <x v="24"/>
    <x v="7"/>
    <x v="6"/>
    <x v="8"/>
    <x v="0"/>
    <x v="0"/>
  </r>
  <r>
    <x v="25"/>
    <x v="4"/>
    <x v="1"/>
    <x v="4"/>
    <x v="0"/>
    <x v="0"/>
  </r>
  <r>
    <x v="26"/>
    <x v="4"/>
    <x v="6"/>
    <x v="4"/>
    <x v="1"/>
    <x v="0"/>
  </r>
  <r>
    <x v="27"/>
    <x v="11"/>
    <x v="0"/>
    <x v="2"/>
    <x v="0"/>
    <x v="0"/>
  </r>
  <r>
    <x v="28"/>
    <x v="11"/>
    <x v="6"/>
    <x v="0"/>
    <x v="0"/>
    <x v="0"/>
  </r>
  <r>
    <x v="29"/>
    <x v="2"/>
    <x v="2"/>
    <x v="4"/>
    <x v="0"/>
    <x v="0"/>
  </r>
  <r>
    <x v="30"/>
    <x v="7"/>
    <x v="3"/>
    <x v="4"/>
    <x v="0"/>
    <x v="0"/>
  </r>
  <r>
    <x v="31"/>
    <x v="5"/>
    <x v="6"/>
    <x v="2"/>
    <x v="1"/>
    <x v="0"/>
  </r>
  <r>
    <x v="32"/>
    <x v="11"/>
    <x v="13"/>
    <x v="2"/>
    <x v="3"/>
    <x v="0"/>
  </r>
  <r>
    <x v="33"/>
    <x v="12"/>
    <x v="14"/>
    <x v="0"/>
    <x v="0"/>
    <x v="0"/>
  </r>
  <r>
    <x v="34"/>
    <x v="1"/>
    <x v="3"/>
    <x v="2"/>
    <x v="3"/>
    <x v="0"/>
  </r>
  <r>
    <x v="35"/>
    <x v="4"/>
    <x v="2"/>
    <x v="6"/>
    <x v="0"/>
    <x v="0"/>
  </r>
  <r>
    <x v="36"/>
    <x v="12"/>
    <x v="0"/>
    <x v="1"/>
    <x v="0"/>
    <x v="0"/>
  </r>
  <r>
    <x v="37"/>
    <x v="1"/>
    <x v="3"/>
    <x v="2"/>
    <x v="3"/>
    <x v="0"/>
  </r>
  <r>
    <x v="38"/>
    <x v="6"/>
    <x v="1"/>
    <x v="1"/>
    <x v="0"/>
    <x v="0"/>
  </r>
  <r>
    <x v="39"/>
    <x v="0"/>
    <x v="6"/>
    <x v="2"/>
    <x v="0"/>
    <x v="0"/>
  </r>
  <r>
    <x v="40"/>
    <x v="4"/>
    <x v="0"/>
    <x v="1"/>
    <x v="2"/>
    <x v="0"/>
  </r>
  <r>
    <x v="41"/>
    <x v="13"/>
    <x v="15"/>
    <x v="1"/>
    <x v="2"/>
    <x v="0"/>
  </r>
  <r>
    <x v="42"/>
    <x v="6"/>
    <x v="2"/>
    <x v="1"/>
    <x v="0"/>
    <x v="0"/>
  </r>
  <r>
    <x v="43"/>
    <x v="4"/>
    <x v="0"/>
    <x v="4"/>
    <x v="5"/>
    <x v="0"/>
  </r>
  <r>
    <x v="44"/>
    <x v="0"/>
    <x v="11"/>
    <x v="8"/>
    <x v="1"/>
    <x v="0"/>
  </r>
  <r>
    <x v="45"/>
    <x v="7"/>
    <x v="1"/>
    <x v="0"/>
    <x v="2"/>
    <x v="0"/>
  </r>
  <r>
    <x v="46"/>
    <x v="0"/>
    <x v="11"/>
    <x v="4"/>
    <x v="0"/>
    <x v="0"/>
  </r>
  <r>
    <x v="47"/>
    <x v="3"/>
    <x v="2"/>
    <x v="0"/>
    <x v="0"/>
    <x v="0"/>
  </r>
  <r>
    <x v="48"/>
    <x v="14"/>
    <x v="8"/>
    <x v="2"/>
    <x v="0"/>
    <x v="0"/>
  </r>
  <r>
    <x v="49"/>
    <x v="4"/>
    <x v="12"/>
    <x v="0"/>
    <x v="0"/>
    <x v="0"/>
  </r>
  <r>
    <x v="50"/>
    <x v="15"/>
    <x v="2"/>
    <x v="9"/>
    <x v="6"/>
    <x v="1"/>
  </r>
  <r>
    <x v="51"/>
    <x v="16"/>
    <x v="2"/>
    <x v="10"/>
    <x v="7"/>
    <x v="1"/>
  </r>
  <r>
    <x v="52"/>
    <x v="17"/>
    <x v="3"/>
    <x v="11"/>
    <x v="7"/>
    <x v="1"/>
  </r>
  <r>
    <x v="53"/>
    <x v="12"/>
    <x v="15"/>
    <x v="12"/>
    <x v="8"/>
    <x v="1"/>
  </r>
  <r>
    <x v="54"/>
    <x v="18"/>
    <x v="16"/>
    <x v="13"/>
    <x v="7"/>
    <x v="1"/>
  </r>
  <r>
    <x v="55"/>
    <x v="10"/>
    <x v="16"/>
    <x v="10"/>
    <x v="8"/>
    <x v="1"/>
  </r>
  <r>
    <x v="56"/>
    <x v="19"/>
    <x v="12"/>
    <x v="9"/>
    <x v="9"/>
    <x v="1"/>
  </r>
  <r>
    <x v="57"/>
    <x v="1"/>
    <x v="17"/>
    <x v="14"/>
    <x v="10"/>
    <x v="1"/>
  </r>
  <r>
    <x v="58"/>
    <x v="20"/>
    <x v="7"/>
    <x v="13"/>
    <x v="8"/>
    <x v="1"/>
  </r>
  <r>
    <x v="59"/>
    <x v="11"/>
    <x v="18"/>
    <x v="15"/>
    <x v="6"/>
    <x v="1"/>
  </r>
  <r>
    <x v="60"/>
    <x v="4"/>
    <x v="19"/>
    <x v="16"/>
    <x v="10"/>
    <x v="1"/>
  </r>
  <r>
    <x v="61"/>
    <x v="21"/>
    <x v="1"/>
    <x v="17"/>
    <x v="7"/>
    <x v="1"/>
  </r>
  <r>
    <x v="62"/>
    <x v="22"/>
    <x v="20"/>
    <x v="12"/>
    <x v="10"/>
    <x v="1"/>
  </r>
  <r>
    <x v="63"/>
    <x v="23"/>
    <x v="7"/>
    <x v="9"/>
    <x v="6"/>
    <x v="1"/>
  </r>
  <r>
    <x v="64"/>
    <x v="24"/>
    <x v="7"/>
    <x v="18"/>
    <x v="8"/>
    <x v="1"/>
  </r>
  <r>
    <x v="65"/>
    <x v="25"/>
    <x v="3"/>
    <x v="19"/>
    <x v="6"/>
    <x v="1"/>
  </r>
  <r>
    <x v="66"/>
    <x v="24"/>
    <x v="1"/>
    <x v="10"/>
    <x v="7"/>
    <x v="1"/>
  </r>
  <r>
    <x v="67"/>
    <x v="9"/>
    <x v="18"/>
    <x v="20"/>
    <x v="10"/>
    <x v="1"/>
  </r>
  <r>
    <x v="68"/>
    <x v="26"/>
    <x v="20"/>
    <x v="10"/>
    <x v="7"/>
    <x v="1"/>
  </r>
  <r>
    <x v="69"/>
    <x v="24"/>
    <x v="21"/>
    <x v="15"/>
    <x v="11"/>
    <x v="1"/>
  </r>
  <r>
    <x v="70"/>
    <x v="21"/>
    <x v="2"/>
    <x v="21"/>
    <x v="12"/>
    <x v="1"/>
  </r>
  <r>
    <x v="71"/>
    <x v="23"/>
    <x v="16"/>
    <x v="12"/>
    <x v="8"/>
    <x v="1"/>
  </r>
  <r>
    <x v="72"/>
    <x v="19"/>
    <x v="21"/>
    <x v="11"/>
    <x v="7"/>
    <x v="1"/>
  </r>
  <r>
    <x v="73"/>
    <x v="23"/>
    <x v="16"/>
    <x v="9"/>
    <x v="13"/>
    <x v="1"/>
  </r>
  <r>
    <x v="74"/>
    <x v="16"/>
    <x v="7"/>
    <x v="22"/>
    <x v="8"/>
    <x v="1"/>
  </r>
  <r>
    <x v="75"/>
    <x v="20"/>
    <x v="1"/>
    <x v="19"/>
    <x v="6"/>
    <x v="1"/>
  </r>
  <r>
    <x v="76"/>
    <x v="27"/>
    <x v="16"/>
    <x v="21"/>
    <x v="6"/>
    <x v="1"/>
  </r>
  <r>
    <x v="77"/>
    <x v="25"/>
    <x v="1"/>
    <x v="23"/>
    <x v="14"/>
    <x v="1"/>
  </r>
  <r>
    <x v="78"/>
    <x v="22"/>
    <x v="7"/>
    <x v="10"/>
    <x v="7"/>
    <x v="1"/>
  </r>
  <r>
    <x v="79"/>
    <x v="10"/>
    <x v="22"/>
    <x v="16"/>
    <x v="10"/>
    <x v="1"/>
  </r>
  <r>
    <x v="80"/>
    <x v="12"/>
    <x v="17"/>
    <x v="24"/>
    <x v="11"/>
    <x v="1"/>
  </r>
  <r>
    <x v="81"/>
    <x v="12"/>
    <x v="17"/>
    <x v="25"/>
    <x v="10"/>
    <x v="1"/>
  </r>
  <r>
    <x v="82"/>
    <x v="9"/>
    <x v="18"/>
    <x v="15"/>
    <x v="13"/>
    <x v="1"/>
  </r>
  <r>
    <x v="83"/>
    <x v="22"/>
    <x v="18"/>
    <x v="26"/>
    <x v="9"/>
    <x v="1"/>
  </r>
  <r>
    <x v="84"/>
    <x v="5"/>
    <x v="1"/>
    <x v="10"/>
    <x v="7"/>
    <x v="1"/>
  </r>
  <r>
    <x v="85"/>
    <x v="22"/>
    <x v="6"/>
    <x v="10"/>
    <x v="9"/>
    <x v="1"/>
  </r>
  <r>
    <x v="86"/>
    <x v="25"/>
    <x v="3"/>
    <x v="9"/>
    <x v="7"/>
    <x v="1"/>
  </r>
  <r>
    <x v="87"/>
    <x v="19"/>
    <x v="15"/>
    <x v="19"/>
    <x v="8"/>
    <x v="1"/>
  </r>
  <r>
    <x v="88"/>
    <x v="24"/>
    <x v="1"/>
    <x v="20"/>
    <x v="8"/>
    <x v="1"/>
  </r>
  <r>
    <x v="89"/>
    <x v="12"/>
    <x v="21"/>
    <x v="12"/>
    <x v="8"/>
    <x v="1"/>
  </r>
  <r>
    <x v="90"/>
    <x v="12"/>
    <x v="22"/>
    <x v="19"/>
    <x v="13"/>
    <x v="1"/>
  </r>
  <r>
    <x v="91"/>
    <x v="23"/>
    <x v="1"/>
    <x v="13"/>
    <x v="6"/>
    <x v="1"/>
  </r>
  <r>
    <x v="92"/>
    <x v="9"/>
    <x v="22"/>
    <x v="12"/>
    <x v="13"/>
    <x v="1"/>
  </r>
  <r>
    <x v="93"/>
    <x v="4"/>
    <x v="15"/>
    <x v="14"/>
    <x v="10"/>
    <x v="1"/>
  </r>
  <r>
    <x v="94"/>
    <x v="24"/>
    <x v="18"/>
    <x v="17"/>
    <x v="8"/>
    <x v="1"/>
  </r>
  <r>
    <x v="95"/>
    <x v="10"/>
    <x v="1"/>
    <x v="17"/>
    <x v="13"/>
    <x v="1"/>
  </r>
  <r>
    <x v="96"/>
    <x v="10"/>
    <x v="7"/>
    <x v="17"/>
    <x v="8"/>
    <x v="1"/>
  </r>
  <r>
    <x v="97"/>
    <x v="26"/>
    <x v="7"/>
    <x v="22"/>
    <x v="8"/>
    <x v="1"/>
  </r>
  <r>
    <x v="98"/>
    <x v="0"/>
    <x v="21"/>
    <x v="27"/>
    <x v="11"/>
    <x v="1"/>
  </r>
  <r>
    <x v="99"/>
    <x v="10"/>
    <x v="16"/>
    <x v="20"/>
    <x v="8"/>
    <x v="1"/>
  </r>
  <r>
    <x v="100"/>
    <x v="19"/>
    <x v="12"/>
    <x v="28"/>
    <x v="15"/>
    <x v="2"/>
  </r>
  <r>
    <x v="101"/>
    <x v="9"/>
    <x v="18"/>
    <x v="26"/>
    <x v="16"/>
    <x v="2"/>
  </r>
  <r>
    <x v="102"/>
    <x v="28"/>
    <x v="1"/>
    <x v="29"/>
    <x v="17"/>
    <x v="2"/>
  </r>
  <r>
    <x v="103"/>
    <x v="19"/>
    <x v="7"/>
    <x v="30"/>
    <x v="12"/>
    <x v="2"/>
  </r>
  <r>
    <x v="104"/>
    <x v="18"/>
    <x v="1"/>
    <x v="31"/>
    <x v="18"/>
    <x v="2"/>
  </r>
  <r>
    <x v="105"/>
    <x v="29"/>
    <x v="1"/>
    <x v="32"/>
    <x v="17"/>
    <x v="2"/>
  </r>
  <r>
    <x v="106"/>
    <x v="1"/>
    <x v="21"/>
    <x v="10"/>
    <x v="14"/>
    <x v="2"/>
  </r>
  <r>
    <x v="107"/>
    <x v="30"/>
    <x v="7"/>
    <x v="33"/>
    <x v="12"/>
    <x v="2"/>
  </r>
  <r>
    <x v="108"/>
    <x v="25"/>
    <x v="21"/>
    <x v="31"/>
    <x v="12"/>
    <x v="2"/>
  </r>
  <r>
    <x v="109"/>
    <x v="31"/>
    <x v="4"/>
    <x v="34"/>
    <x v="15"/>
    <x v="2"/>
  </r>
  <r>
    <x v="110"/>
    <x v="18"/>
    <x v="2"/>
    <x v="26"/>
    <x v="19"/>
    <x v="2"/>
  </r>
  <r>
    <x v="111"/>
    <x v="16"/>
    <x v="18"/>
    <x v="35"/>
    <x v="16"/>
    <x v="2"/>
  </r>
  <r>
    <x v="112"/>
    <x v="27"/>
    <x v="1"/>
    <x v="36"/>
    <x v="17"/>
    <x v="2"/>
  </r>
  <r>
    <x v="113"/>
    <x v="10"/>
    <x v="21"/>
    <x v="23"/>
    <x v="19"/>
    <x v="2"/>
  </r>
  <r>
    <x v="114"/>
    <x v="9"/>
    <x v="16"/>
    <x v="26"/>
    <x v="20"/>
    <x v="2"/>
  </r>
  <r>
    <x v="115"/>
    <x v="16"/>
    <x v="2"/>
    <x v="35"/>
    <x v="21"/>
    <x v="2"/>
  </r>
  <r>
    <x v="116"/>
    <x v="18"/>
    <x v="1"/>
    <x v="36"/>
    <x v="12"/>
    <x v="2"/>
  </r>
  <r>
    <x v="117"/>
    <x v="32"/>
    <x v="11"/>
    <x v="37"/>
    <x v="18"/>
    <x v="2"/>
  </r>
  <r>
    <x v="118"/>
    <x v="32"/>
    <x v="22"/>
    <x v="38"/>
    <x v="21"/>
    <x v="2"/>
  </r>
  <r>
    <x v="119"/>
    <x v="22"/>
    <x v="20"/>
    <x v="23"/>
    <x v="7"/>
    <x v="2"/>
  </r>
  <r>
    <x v="120"/>
    <x v="17"/>
    <x v="2"/>
    <x v="39"/>
    <x v="21"/>
    <x v="2"/>
  </r>
  <r>
    <x v="121"/>
    <x v="24"/>
    <x v="16"/>
    <x v="11"/>
    <x v="19"/>
    <x v="2"/>
  </r>
  <r>
    <x v="122"/>
    <x v="32"/>
    <x v="16"/>
    <x v="37"/>
    <x v="19"/>
    <x v="2"/>
  </r>
  <r>
    <x v="123"/>
    <x v="19"/>
    <x v="18"/>
    <x v="11"/>
    <x v="12"/>
    <x v="2"/>
  </r>
  <r>
    <x v="124"/>
    <x v="25"/>
    <x v="12"/>
    <x v="39"/>
    <x v="17"/>
    <x v="2"/>
  </r>
  <r>
    <x v="125"/>
    <x v="31"/>
    <x v="2"/>
    <x v="28"/>
    <x v="12"/>
    <x v="2"/>
  </r>
  <r>
    <x v="126"/>
    <x v="26"/>
    <x v="16"/>
    <x v="21"/>
    <x v="12"/>
    <x v="2"/>
  </r>
  <r>
    <x v="127"/>
    <x v="23"/>
    <x v="1"/>
    <x v="11"/>
    <x v="12"/>
    <x v="2"/>
  </r>
  <r>
    <x v="128"/>
    <x v="16"/>
    <x v="16"/>
    <x v="30"/>
    <x v="17"/>
    <x v="2"/>
  </r>
  <r>
    <x v="129"/>
    <x v="31"/>
    <x v="1"/>
    <x v="31"/>
    <x v="9"/>
    <x v="2"/>
  </r>
  <r>
    <x v="130"/>
    <x v="33"/>
    <x v="16"/>
    <x v="34"/>
    <x v="16"/>
    <x v="2"/>
  </r>
  <r>
    <x v="131"/>
    <x v="34"/>
    <x v="11"/>
    <x v="40"/>
    <x v="19"/>
    <x v="2"/>
  </r>
  <r>
    <x v="132"/>
    <x v="16"/>
    <x v="16"/>
    <x v="30"/>
    <x v="18"/>
    <x v="2"/>
  </r>
  <r>
    <x v="133"/>
    <x v="19"/>
    <x v="16"/>
    <x v="26"/>
    <x v="7"/>
    <x v="2"/>
  </r>
  <r>
    <x v="134"/>
    <x v="23"/>
    <x v="22"/>
    <x v="30"/>
    <x v="6"/>
    <x v="2"/>
  </r>
  <r>
    <x v="135"/>
    <x v="32"/>
    <x v="1"/>
    <x v="34"/>
    <x v="21"/>
    <x v="2"/>
  </r>
  <r>
    <x v="136"/>
    <x v="19"/>
    <x v="6"/>
    <x v="30"/>
    <x v="20"/>
    <x v="2"/>
  </r>
  <r>
    <x v="137"/>
    <x v="16"/>
    <x v="3"/>
    <x v="36"/>
    <x v="12"/>
    <x v="2"/>
  </r>
  <r>
    <x v="138"/>
    <x v="22"/>
    <x v="1"/>
    <x v="21"/>
    <x v="12"/>
    <x v="2"/>
  </r>
  <r>
    <x v="139"/>
    <x v="17"/>
    <x v="3"/>
    <x v="41"/>
    <x v="17"/>
    <x v="2"/>
  </r>
  <r>
    <x v="140"/>
    <x v="25"/>
    <x v="3"/>
    <x v="30"/>
    <x v="20"/>
    <x v="2"/>
  </r>
  <r>
    <x v="141"/>
    <x v="17"/>
    <x v="3"/>
    <x v="26"/>
    <x v="21"/>
    <x v="2"/>
  </r>
  <r>
    <x v="142"/>
    <x v="9"/>
    <x v="18"/>
    <x v="26"/>
    <x v="16"/>
    <x v="2"/>
  </r>
  <r>
    <x v="143"/>
    <x v="27"/>
    <x v="2"/>
    <x v="29"/>
    <x v="21"/>
    <x v="2"/>
  </r>
  <r>
    <x v="144"/>
    <x v="25"/>
    <x v="12"/>
    <x v="39"/>
    <x v="15"/>
    <x v="2"/>
  </r>
  <r>
    <x v="145"/>
    <x v="25"/>
    <x v="1"/>
    <x v="42"/>
    <x v="21"/>
    <x v="2"/>
  </r>
  <r>
    <x v="146"/>
    <x v="19"/>
    <x v="21"/>
    <x v="23"/>
    <x v="16"/>
    <x v="2"/>
  </r>
  <r>
    <x v="147"/>
    <x v="18"/>
    <x v="1"/>
    <x v="42"/>
    <x v="19"/>
    <x v="2"/>
  </r>
  <r>
    <x v="148"/>
    <x v="26"/>
    <x v="6"/>
    <x v="41"/>
    <x v="21"/>
    <x v="2"/>
  </r>
  <r>
    <x v="149"/>
    <x v="21"/>
    <x v="1"/>
    <x v="26"/>
    <x v="1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0D60A-3E2B-452C-8B0C-CE4A861B4ECC}" name="Tabela przestawna2" cacheId="5" dataOnRows="1" applyNumberFormats="0" applyBorderFormats="0" applyFontFormats="0" applyPatternFormats="0" applyAlignmentFormats="0" applyWidthHeightFormats="1" dataCaption="Wartości" grandTotalCaption="Wszystkie" updatedVersion="8" minRefreshableVersion="3" useAutoFormatting="1" itemPrintTitles="1" createdVersion="8" indent="0" outline="1" outlineData="1" multipleFieldFilters="0" colHeaderCaption="Gatunek">
  <location ref="O13:S19" firstHeaderRow="1" firstDataRow="2" firstDataCol="1"/>
  <pivotFields count="6">
    <pivotField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dataField="1" showAll="0">
      <items count="36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  <item t="default"/>
      </items>
    </pivotField>
    <pivotField showAll="0">
      <items count="24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  <item t="default"/>
      </items>
    </pivotField>
    <pivotField showAll="0"/>
    <pivotField showAll="0"/>
    <pivotField axis="axisCol" showAll="0">
      <items count="4">
        <item x="0"/>
        <item x="1"/>
        <item x="2"/>
        <item t="default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5"/>
  </colFields>
  <colItems count="4">
    <i>
      <x/>
    </i>
    <i>
      <x v="1"/>
    </i>
    <i>
      <x v="2"/>
    </i>
    <i t="grand">
      <x/>
    </i>
  </colItems>
  <dataFields count="5">
    <dataField name="Średnia" fld="1" subtotal="average" baseField="5" baseItem="0" numFmtId="2"/>
    <dataField name="Maksimum" fld="1" subtotal="max" baseField="5" baseItem="0" numFmtId="2"/>
    <dataField name="Minimum" fld="1" subtotal="min" baseField="5" baseItem="0" numFmtId="2"/>
    <dataField name="Odchylenie standardowe" fld="1" subtotal="stdDev" baseField="5" baseItem="0" numFmtId="2"/>
    <dataField name="Wariancja" fld="1" subtotal="varp" baseField="5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7C2D8-96CB-48C5-9743-4312835A87A7}" name="Tabela przestawna1" cacheId="5" applyNumberFormats="0" applyBorderFormats="0" applyFontFormats="0" applyPatternFormats="0" applyAlignmentFormats="0" applyWidthHeightFormats="1" dataCaption="Wartości" updatedVersion="8" minRefreshableVersion="3" useAutoFormatting="1" rowGrandTotals="0" itemPrintTitles="1" createdVersion="8" indent="0" outline="1" outlineData="1" multipleFieldFilters="0" rowHeaderCaption="Gatunek">
  <location ref="O1:P4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</pivotFields>
  <rowFields count="1">
    <field x="5"/>
  </rowFields>
  <rowItems count="3">
    <i>
      <x/>
    </i>
    <i>
      <x v="1"/>
    </i>
    <i>
      <x v="2"/>
    </i>
  </rowItems>
  <colItems count="1">
    <i/>
  </colItems>
  <dataFields count="1">
    <dataField name="Liczebność" fld="0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9249-44ED-4EA7-8A19-74B0EF2D5F33}" name="Tabela przestawna21" cacheId="5" dataOnRows="1" applyNumberFormats="0" applyBorderFormats="0" applyFontFormats="0" applyPatternFormats="0" applyAlignmentFormats="0" applyWidthHeightFormats="1" dataCaption="Wartości" grandTotalCaption="Wszystkie" updatedVersion="8" minRefreshableVersion="3" useAutoFormatting="1" itemPrintTitles="1" createdVersion="8" indent="0" outline="1" outlineData="1" multipleFieldFilters="0" colHeaderCaption="Gatunek">
  <location ref="U22:Y28" firstHeaderRow="1" firstDataRow="2" firstDataCol="1"/>
  <pivotFields count="6">
    <pivotField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36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  <item t="default"/>
      </items>
    </pivotField>
    <pivotField showAll="0">
      <items count="24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  <item t="default"/>
      </items>
    </pivotField>
    <pivotField showAll="0"/>
    <pivotField dataField="1" showAll="0">
      <items count="23">
        <item x="3"/>
        <item x="0"/>
        <item x="2"/>
        <item x="1"/>
        <item x="4"/>
        <item x="5"/>
        <item x="10"/>
        <item x="11"/>
        <item x="13"/>
        <item x="8"/>
        <item x="6"/>
        <item x="7"/>
        <item x="9"/>
        <item x="14"/>
        <item x="12"/>
        <item x="16"/>
        <item x="19"/>
        <item x="17"/>
        <item x="18"/>
        <item x="21"/>
        <item x="20"/>
        <item x="15"/>
        <item t="default"/>
      </items>
    </pivotField>
    <pivotField axis="axisCol" showAll="0">
      <items count="4">
        <item x="0"/>
        <item x="1"/>
        <item x="2"/>
        <item t="default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5"/>
  </colFields>
  <colItems count="4">
    <i>
      <x/>
    </i>
    <i>
      <x v="1"/>
    </i>
    <i>
      <x v="2"/>
    </i>
    <i t="grand">
      <x/>
    </i>
  </colItems>
  <dataFields count="5">
    <dataField name="Średnia" fld="4" subtotal="average" baseField="5" baseItem="1" numFmtId="2"/>
    <dataField name="Maksimum" fld="4" subtotal="max" baseField="5" baseItem="1" numFmtId="2"/>
    <dataField name="Minimum" fld="4" subtotal="min" baseField="5" baseItem="1" numFmtId="2"/>
    <dataField name="Odchylenie standardowe" fld="4" subtotal="stdDev" baseField="5" baseItem="1" numFmtId="2"/>
    <dataField name="Wariancja" fld="4" subtotal="varp" baseField="5" baseItem="1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7C774-5A4E-4B90-B1C4-BF920C1EE227}" name="Tabela przestawna20" cacheId="5" dataOnRows="1" applyNumberFormats="0" applyBorderFormats="0" applyFontFormats="0" applyPatternFormats="0" applyAlignmentFormats="0" applyWidthHeightFormats="1" dataCaption="Wartości" grandTotalCaption="Wszystkie" updatedVersion="8" minRefreshableVersion="3" useAutoFormatting="1" itemPrintTitles="1" createdVersion="8" indent="0" outline="1" outlineData="1" multipleFieldFilters="0" colHeaderCaption="Gatunek">
  <location ref="U13:Y19" firstHeaderRow="1" firstDataRow="2" firstDataCol="1"/>
  <pivotFields count="6">
    <pivotField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36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  <item t="default"/>
      </items>
    </pivotField>
    <pivotField showAll="0">
      <items count="24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  <item t="default"/>
      </items>
    </pivotField>
    <pivotField dataField="1" showAll="0"/>
    <pivotField showAll="0"/>
    <pivotField axis="axisCol" showAll="0">
      <items count="4">
        <item x="0"/>
        <item x="1"/>
        <item x="2"/>
        <item t="default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5"/>
  </colFields>
  <colItems count="4">
    <i>
      <x/>
    </i>
    <i>
      <x v="1"/>
    </i>
    <i>
      <x v="2"/>
    </i>
    <i t="grand">
      <x/>
    </i>
  </colItems>
  <dataFields count="5">
    <dataField name="Średnia" fld="3" subtotal="average" baseField="5" baseItem="0" numFmtId="2"/>
    <dataField name="Maksimum" fld="3" subtotal="max" baseField="5" baseItem="0" numFmtId="2"/>
    <dataField name="Minimum" fld="3" subtotal="min" baseField="5" baseItem="0" numFmtId="2"/>
    <dataField name="Odchylenie standardowe" fld="3" subtotal="stdDev" baseField="5" baseItem="0" numFmtId="2"/>
    <dataField name="Wariancja" fld="3" subtotal="varp" baseField="5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CA85B-4FB7-48CF-8953-C1771E4035B6}" name="Tabela przestawna17" cacheId="5" dataOnRows="1" applyNumberFormats="0" applyBorderFormats="0" applyFontFormats="0" applyPatternFormats="0" applyAlignmentFormats="0" applyWidthHeightFormats="1" dataCaption="Wartości" grandTotalCaption="Wszystkie" updatedVersion="8" minRefreshableVersion="3" useAutoFormatting="1" itemPrintTitles="1" createdVersion="8" indent="0" outline="1" outlineData="1" multipleFieldFilters="0" colHeaderCaption="Gatunek">
  <location ref="O22:S28" firstHeaderRow="1" firstDataRow="2" firstDataCol="1"/>
  <pivotFields count="6">
    <pivotField showAll="0">
      <items count="1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showAll="0">
      <items count="36">
        <item x="8"/>
        <item x="6"/>
        <item x="13"/>
        <item x="3"/>
        <item x="2"/>
        <item x="7"/>
        <item x="1"/>
        <item x="4"/>
        <item x="0"/>
        <item x="11"/>
        <item x="14"/>
        <item x="5"/>
        <item x="12"/>
        <item x="24"/>
        <item x="10"/>
        <item x="9"/>
        <item x="21"/>
        <item x="22"/>
        <item x="23"/>
        <item x="26"/>
        <item x="19"/>
        <item x="16"/>
        <item x="18"/>
        <item x="20"/>
        <item x="25"/>
        <item x="27"/>
        <item x="17"/>
        <item x="15"/>
        <item x="28"/>
        <item x="31"/>
        <item x="30"/>
        <item x="33"/>
        <item x="29"/>
        <item x="32"/>
        <item x="34"/>
        <item t="default"/>
      </items>
    </pivotField>
    <pivotField dataField="1" showAll="0">
      <items count="24">
        <item x="19"/>
        <item x="20"/>
        <item x="15"/>
        <item x="17"/>
        <item x="21"/>
        <item x="22"/>
        <item x="18"/>
        <item x="16"/>
        <item x="7"/>
        <item x="1"/>
        <item x="3"/>
        <item x="2"/>
        <item x="12"/>
        <item x="6"/>
        <item x="0"/>
        <item x="4"/>
        <item x="8"/>
        <item x="11"/>
        <item x="5"/>
        <item x="9"/>
        <item x="13"/>
        <item x="14"/>
        <item x="10"/>
        <item t="default"/>
      </items>
    </pivotField>
    <pivotField showAll="0"/>
    <pivotField showAll="0"/>
    <pivotField axis="axisCol" showAll="0">
      <items count="4">
        <item x="0"/>
        <item x="1"/>
        <item x="2"/>
        <item t="default"/>
      </items>
    </pivotField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Fields count="1">
    <field x="5"/>
  </colFields>
  <colItems count="4">
    <i>
      <x/>
    </i>
    <i>
      <x v="1"/>
    </i>
    <i>
      <x v="2"/>
    </i>
    <i t="grand">
      <x/>
    </i>
  </colItems>
  <dataFields count="5">
    <dataField name="Średnia" fld="2" subtotal="average" baseField="5" baseItem="0" numFmtId="2"/>
    <dataField name="Maksimum" fld="2" subtotal="max" baseField="5" baseItem="0" numFmtId="2"/>
    <dataField name="Minimum" fld="2" subtotal="min" baseField="5" baseItem="0" numFmtId="2"/>
    <dataField name="Odchylenie standardowe" fld="2" subtotal="stdDev" baseField="5" baseItem="0" numFmtId="2"/>
    <dataField name="Wariancja" fld="2" subtotal="varp" baseField="5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E416C50-EA64-44B4-B36D-D90B2DB801A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SepalLengthCm" tableColumnId="2"/>
      <queryTableField id="3" name="SepalWidthCm" tableColumnId="3"/>
      <queryTableField id="4" name="PetalLengthCm" tableColumnId="4"/>
      <queryTableField id="5" name="PetalWidthCm" tableColumnId="5"/>
      <queryTableField id="6" name="Specie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03C9609-4930-4963-A33A-A7F7647D8732}" autoFormatId="16" applyNumberFormats="0" applyBorderFormats="0" applyFontFormats="0" applyPatternFormats="0" applyAlignmentFormats="0" applyWidthHeightFormats="0">
  <queryTableRefresh nextId="8" unboundColumnsRight="1">
    <queryTableFields count="4">
      <queryTableField id="1" name="Id" tableColumnId="1"/>
      <queryTableField id="2" name="SepalLengthCm" tableColumnId="2"/>
      <queryTableField id="6" name="Species" tableColumnId="6"/>
      <queryTableField id="7" dataBound="0" tableColumnId="3"/>
    </queryTableFields>
    <queryTableDeletedFields count="3">
      <deletedField name="SepalWidthCm"/>
      <deletedField name="PetalLengthCm"/>
      <deletedField name="PetalWidthCm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AFEA98-6097-4295-873A-1A5E36D68971}" name="iris" displayName="iris" ref="A1:F151" tableType="queryTable" totalsRowShown="0">
  <autoFilter ref="A1:F151" xr:uid="{5CAFEA98-6097-4295-873A-1A5E36D68971}"/>
  <tableColumns count="6">
    <tableColumn id="1" xr3:uid="{711C3767-4AA9-4E5C-BCF3-75C0402F57F5}" uniqueName="1" name="Id" queryTableFieldId="1"/>
    <tableColumn id="2" xr3:uid="{A821A5EF-C330-4A63-92FB-276D4B6032E0}" uniqueName="2" name="SepalLengthCm" queryTableFieldId="2"/>
    <tableColumn id="3" xr3:uid="{A381DAE3-5B43-468B-8230-56CFA11D4D05}" uniqueName="3" name="SepalWidthCm" queryTableFieldId="3"/>
    <tableColumn id="4" xr3:uid="{320194BB-6AC6-492F-95F8-9F89B42F4D4C}" uniqueName="4" name="PetalLengthCm" queryTableFieldId="4"/>
    <tableColumn id="5" xr3:uid="{80D8CD60-6F1E-4665-8C74-7B9300D84B40}" uniqueName="5" name="PetalWidthCm" queryTableFieldId="5"/>
    <tableColumn id="6" xr3:uid="{94CA1A5F-4B74-4E31-BCD0-B16BA3A3006D}" uniqueName="6" name="Species" queryTableFieldId="6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33D4C-B8DC-48B6-AC86-E4AC09356A12}" name="iris3" displayName="iris3" ref="A1:D151" tableType="queryTable" totalsRowShown="0">
  <autoFilter ref="A1:D151" xr:uid="{28233D4C-B8DC-48B6-AC86-E4AC09356A12}">
    <filterColumn colId="2">
      <filters>
        <filter val="Iris-virginica"/>
      </filters>
    </filterColumn>
  </autoFilter>
  <tableColumns count="4">
    <tableColumn id="1" xr3:uid="{2754E852-CEB6-46EA-9744-3D501BFCA6A3}" uniqueName="1" name="Id" queryTableFieldId="1"/>
    <tableColumn id="2" xr3:uid="{1A65C402-05B1-4B92-9FC6-B53AC0981B8C}" uniqueName="2" name="SepalLengthCm" queryTableFieldId="2"/>
    <tableColumn id="6" xr3:uid="{2B9060D0-C102-4EB8-8734-85AA17102FDC}" uniqueName="6" name="Species" queryTableFieldId="6" dataDxfId="1"/>
    <tableColumn id="3" xr3:uid="{8AD61A12-18D4-4892-B56A-ADAEE7FD133C}" uniqueName="3" name="Kolumna1" queryTableFieldId="7" dataDxfId="0">
      <calculatedColumnFormula>IF(B2&lt;$J$107, "Odstająca", IF(B2&gt;$J$108, "Odstająca", "Nie"))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20B3-C1CA-4DD0-9BC1-19F2BC5D3B9B}">
  <dimension ref="A1:Y151"/>
  <sheetViews>
    <sheetView tabSelected="1" topLeftCell="A52" zoomScaleNormal="100" workbookViewId="0">
      <selection activeCell="H104" sqref="H104"/>
    </sheetView>
  </sheetViews>
  <sheetFormatPr defaultRowHeight="14.35" x14ac:dyDescent="0.5"/>
  <cols>
    <col min="1" max="1" width="6.5859375" customWidth="1"/>
    <col min="2" max="2" width="15.76171875" bestFit="1" customWidth="1"/>
    <col min="3" max="3" width="15.1171875" bestFit="1" customWidth="1"/>
    <col min="4" max="4" width="15.41015625" bestFit="1" customWidth="1"/>
    <col min="5" max="5" width="14.703125" bestFit="1" customWidth="1"/>
    <col min="6" max="6" width="11.3515625" bestFit="1" customWidth="1"/>
    <col min="8" max="8" width="20.3515625" bestFit="1" customWidth="1"/>
    <col min="9" max="9" width="13.234375" bestFit="1" customWidth="1"/>
    <col min="10" max="10" width="12.46875" bestFit="1" customWidth="1"/>
    <col min="11" max="11" width="12.8203125" bestFit="1" customWidth="1"/>
    <col min="12" max="12" width="12.05859375" bestFit="1" customWidth="1"/>
    <col min="13" max="13" width="6.87890625" bestFit="1" customWidth="1"/>
    <col min="15" max="15" width="15.8203125" bestFit="1" customWidth="1"/>
    <col min="16" max="16" width="11.52734375" bestFit="1" customWidth="1"/>
    <col min="17" max="17" width="11.87890625" bestFit="1" customWidth="1"/>
    <col min="18" max="18" width="10.5859375" bestFit="1" customWidth="1"/>
    <col min="19" max="19" width="8.9375" bestFit="1" customWidth="1"/>
    <col min="20" max="20" width="9.05859375" customWidth="1"/>
    <col min="21" max="21" width="20.234375" bestFit="1" customWidth="1"/>
    <col min="22" max="22" width="9.703125" bestFit="1" customWidth="1"/>
    <col min="23" max="23" width="11.87890625" bestFit="1" customWidth="1"/>
    <col min="24" max="24" width="10.5859375" bestFit="1" customWidth="1"/>
    <col min="25" max="25" width="8.9375" bestFit="1" customWidth="1"/>
    <col min="26" max="26" width="20.703125" bestFit="1" customWidth="1"/>
    <col min="27" max="27" width="19.76171875" bestFit="1" customWidth="1"/>
    <col min="28" max="28" width="15.87890625" bestFit="1" customWidth="1"/>
    <col min="29" max="29" width="11.87890625" bestFit="1" customWidth="1"/>
    <col min="30" max="30" width="10.5859375" bestFit="1" customWidth="1"/>
    <col min="31" max="31" width="12.87890625" bestFit="1" customWidth="1"/>
    <col min="32" max="32" width="9.234375" bestFit="1" customWidth="1"/>
    <col min="33" max="33" width="6.703125" bestFit="1" customWidth="1"/>
    <col min="34" max="34" width="9.234375" bestFit="1" customWidth="1"/>
    <col min="35" max="35" width="6.703125" bestFit="1" customWidth="1"/>
    <col min="36" max="36" width="9.234375" bestFit="1" customWidth="1"/>
    <col min="37" max="37" width="6.703125" bestFit="1" customWidth="1"/>
    <col min="38" max="38" width="9.234375" bestFit="1" customWidth="1"/>
    <col min="39" max="39" width="6.703125" bestFit="1" customWidth="1"/>
    <col min="40" max="40" width="9.234375" bestFit="1" customWidth="1"/>
    <col min="41" max="41" width="6.703125" bestFit="1" customWidth="1"/>
    <col min="42" max="42" width="9.234375" bestFit="1" customWidth="1"/>
    <col min="43" max="43" width="6.703125" bestFit="1" customWidth="1"/>
    <col min="44" max="44" width="9.234375" bestFit="1" customWidth="1"/>
    <col min="45" max="45" width="6.703125" bestFit="1" customWidth="1"/>
    <col min="46" max="46" width="9.234375" bestFit="1" customWidth="1"/>
    <col min="47" max="47" width="7.703125" bestFit="1" customWidth="1"/>
    <col min="48" max="48" width="9.234375" bestFit="1" customWidth="1"/>
    <col min="49" max="49" width="7.703125" bestFit="1" customWidth="1"/>
    <col min="50" max="50" width="9.234375" bestFit="1" customWidth="1"/>
    <col min="51" max="51" width="7.703125" bestFit="1" customWidth="1"/>
    <col min="52" max="52" width="9.234375" bestFit="1" customWidth="1"/>
    <col min="53" max="53" width="7.703125" bestFit="1" customWidth="1"/>
    <col min="54" max="54" width="9.234375" bestFit="1" customWidth="1"/>
    <col min="55" max="55" width="7.703125" bestFit="1" customWidth="1"/>
    <col min="56" max="56" width="9.234375" bestFit="1" customWidth="1"/>
    <col min="57" max="57" width="7.703125" bestFit="1" customWidth="1"/>
    <col min="58" max="58" width="9.234375" bestFit="1" customWidth="1"/>
    <col min="59" max="59" width="7.703125" bestFit="1" customWidth="1"/>
    <col min="60" max="60" width="9.234375" bestFit="1" customWidth="1"/>
    <col min="61" max="61" width="7.703125" bestFit="1" customWidth="1"/>
    <col min="62" max="62" width="9.234375" bestFit="1" customWidth="1"/>
    <col min="63" max="63" width="7.703125" bestFit="1" customWidth="1"/>
    <col min="64" max="64" width="9.234375" bestFit="1" customWidth="1"/>
    <col min="65" max="65" width="7.703125" bestFit="1" customWidth="1"/>
    <col min="66" max="66" width="9.234375" bestFit="1" customWidth="1"/>
    <col min="67" max="67" width="7.703125" bestFit="1" customWidth="1"/>
    <col min="68" max="68" width="9.234375" bestFit="1" customWidth="1"/>
    <col min="69" max="69" width="7.703125" bestFit="1" customWidth="1"/>
    <col min="70" max="70" width="9.234375" bestFit="1" customWidth="1"/>
    <col min="71" max="71" width="7.703125" bestFit="1" customWidth="1"/>
    <col min="72" max="72" width="9.234375" bestFit="1" customWidth="1"/>
    <col min="73" max="73" width="7.703125" bestFit="1" customWidth="1"/>
    <col min="74" max="74" width="9.234375" bestFit="1" customWidth="1"/>
    <col min="75" max="75" width="7.703125" bestFit="1" customWidth="1"/>
    <col min="76" max="76" width="9.234375" bestFit="1" customWidth="1"/>
    <col min="77" max="77" width="7.703125" bestFit="1" customWidth="1"/>
    <col min="78" max="78" width="9.234375" bestFit="1" customWidth="1"/>
    <col min="79" max="79" width="7.703125" bestFit="1" customWidth="1"/>
    <col min="80" max="80" width="9.234375" bestFit="1" customWidth="1"/>
    <col min="81" max="81" width="7.703125" bestFit="1" customWidth="1"/>
    <col min="82" max="82" width="9.234375" bestFit="1" customWidth="1"/>
    <col min="83" max="83" width="7.703125" bestFit="1" customWidth="1"/>
    <col min="84" max="84" width="9.234375" bestFit="1" customWidth="1"/>
    <col min="85" max="85" width="7.703125" bestFit="1" customWidth="1"/>
    <col min="86" max="86" width="9.234375" bestFit="1" customWidth="1"/>
    <col min="87" max="87" width="7.703125" bestFit="1" customWidth="1"/>
    <col min="88" max="88" width="9.234375" bestFit="1" customWidth="1"/>
    <col min="89" max="89" width="7.703125" bestFit="1" customWidth="1"/>
    <col min="90" max="90" width="9.234375" bestFit="1" customWidth="1"/>
    <col min="91" max="91" width="7.703125" bestFit="1" customWidth="1"/>
    <col min="92" max="92" width="9.234375" bestFit="1" customWidth="1"/>
    <col min="93" max="93" width="7.703125" bestFit="1" customWidth="1"/>
    <col min="94" max="94" width="9.234375" bestFit="1" customWidth="1"/>
    <col min="95" max="95" width="7.703125" bestFit="1" customWidth="1"/>
    <col min="96" max="96" width="9.234375" bestFit="1" customWidth="1"/>
    <col min="97" max="97" width="7.703125" bestFit="1" customWidth="1"/>
    <col min="98" max="98" width="9.234375" bestFit="1" customWidth="1"/>
    <col min="99" max="99" width="7.703125" bestFit="1" customWidth="1"/>
    <col min="100" max="100" width="9.234375" bestFit="1" customWidth="1"/>
    <col min="101" max="101" width="7.703125" bestFit="1" customWidth="1"/>
    <col min="102" max="102" width="9.234375" bestFit="1" customWidth="1"/>
    <col min="103" max="103" width="7.703125" bestFit="1" customWidth="1"/>
    <col min="104" max="104" width="9.234375" bestFit="1" customWidth="1"/>
    <col min="105" max="105" width="7.703125" bestFit="1" customWidth="1"/>
    <col min="106" max="106" width="9.234375" bestFit="1" customWidth="1"/>
    <col min="107" max="107" width="7.703125" bestFit="1" customWidth="1"/>
    <col min="108" max="108" width="9.234375" bestFit="1" customWidth="1"/>
    <col min="109" max="109" width="7.703125" bestFit="1" customWidth="1"/>
    <col min="110" max="110" width="9.234375" bestFit="1" customWidth="1"/>
    <col min="111" max="111" width="7.703125" bestFit="1" customWidth="1"/>
    <col min="112" max="112" width="9.234375" bestFit="1" customWidth="1"/>
    <col min="113" max="113" width="7.703125" bestFit="1" customWidth="1"/>
    <col min="114" max="114" width="9.234375" bestFit="1" customWidth="1"/>
    <col min="115" max="115" width="7.703125" bestFit="1" customWidth="1"/>
    <col min="116" max="116" width="9.234375" bestFit="1" customWidth="1"/>
    <col min="117" max="117" width="7.703125" bestFit="1" customWidth="1"/>
    <col min="118" max="118" width="9.234375" bestFit="1" customWidth="1"/>
    <col min="119" max="119" width="7.703125" bestFit="1" customWidth="1"/>
    <col min="120" max="120" width="9.234375" bestFit="1" customWidth="1"/>
    <col min="121" max="121" width="7.703125" bestFit="1" customWidth="1"/>
    <col min="122" max="122" width="9.234375" bestFit="1" customWidth="1"/>
    <col min="123" max="123" width="7.703125" bestFit="1" customWidth="1"/>
    <col min="124" max="124" width="9.234375" bestFit="1" customWidth="1"/>
    <col min="125" max="125" width="7.703125" bestFit="1" customWidth="1"/>
    <col min="126" max="126" width="9.234375" bestFit="1" customWidth="1"/>
    <col min="127" max="127" width="7.703125" bestFit="1" customWidth="1"/>
    <col min="128" max="128" width="11.87890625" bestFit="1" customWidth="1"/>
    <col min="129" max="129" width="7.703125" bestFit="1" customWidth="1"/>
    <col min="130" max="130" width="11.87890625" bestFit="1" customWidth="1"/>
    <col min="131" max="131" width="7.703125" bestFit="1" customWidth="1"/>
    <col min="132" max="132" width="11.87890625" bestFit="1" customWidth="1"/>
    <col min="133" max="133" width="7.703125" bestFit="1" customWidth="1"/>
    <col min="134" max="134" width="11.87890625" bestFit="1" customWidth="1"/>
    <col min="135" max="135" width="7.703125" bestFit="1" customWidth="1"/>
    <col min="136" max="136" width="11.87890625" bestFit="1" customWidth="1"/>
    <col min="137" max="137" width="7.703125" bestFit="1" customWidth="1"/>
    <col min="138" max="138" width="11.87890625" bestFit="1" customWidth="1"/>
    <col min="139" max="139" width="7.703125" bestFit="1" customWidth="1"/>
    <col min="140" max="140" width="11.87890625" bestFit="1" customWidth="1"/>
    <col min="141" max="141" width="7.703125" bestFit="1" customWidth="1"/>
    <col min="142" max="142" width="11.87890625" bestFit="1" customWidth="1"/>
    <col min="143" max="143" width="7.703125" bestFit="1" customWidth="1"/>
    <col min="144" max="144" width="11.87890625" bestFit="1" customWidth="1"/>
    <col min="145" max="145" width="7.703125" bestFit="1" customWidth="1"/>
    <col min="146" max="146" width="11.87890625" bestFit="1" customWidth="1"/>
    <col min="147" max="147" width="7.703125" bestFit="1" customWidth="1"/>
    <col min="148" max="148" width="11.87890625" bestFit="1" customWidth="1"/>
    <col min="149" max="149" width="7.703125" bestFit="1" customWidth="1"/>
    <col min="150" max="150" width="11.87890625" bestFit="1" customWidth="1"/>
    <col min="151" max="151" width="7.703125" bestFit="1" customWidth="1"/>
    <col min="152" max="152" width="11.87890625" bestFit="1" customWidth="1"/>
    <col min="153" max="153" width="7.703125" bestFit="1" customWidth="1"/>
    <col min="154" max="154" width="11.87890625" bestFit="1" customWidth="1"/>
    <col min="155" max="155" width="7.703125" bestFit="1" customWidth="1"/>
    <col min="156" max="156" width="11.87890625" bestFit="1" customWidth="1"/>
    <col min="157" max="157" width="7.703125" bestFit="1" customWidth="1"/>
    <col min="158" max="158" width="11.87890625" bestFit="1" customWidth="1"/>
    <col min="159" max="159" width="7.703125" bestFit="1" customWidth="1"/>
    <col min="160" max="160" width="11.87890625" bestFit="1" customWidth="1"/>
    <col min="161" max="161" width="7.703125" bestFit="1" customWidth="1"/>
    <col min="162" max="162" width="11.87890625" bestFit="1" customWidth="1"/>
    <col min="163" max="163" width="7.703125" bestFit="1" customWidth="1"/>
    <col min="164" max="164" width="11.87890625" bestFit="1" customWidth="1"/>
    <col min="165" max="165" width="7.703125" bestFit="1" customWidth="1"/>
    <col min="166" max="166" width="11.87890625" bestFit="1" customWidth="1"/>
    <col min="167" max="167" width="7.703125" bestFit="1" customWidth="1"/>
    <col min="168" max="168" width="11.87890625" bestFit="1" customWidth="1"/>
    <col min="169" max="169" width="7.703125" bestFit="1" customWidth="1"/>
    <col min="170" max="170" width="11.87890625" bestFit="1" customWidth="1"/>
    <col min="171" max="171" width="7.703125" bestFit="1" customWidth="1"/>
    <col min="172" max="172" width="11.87890625" bestFit="1" customWidth="1"/>
    <col min="173" max="173" width="7.703125" bestFit="1" customWidth="1"/>
    <col min="174" max="174" width="11.87890625" bestFit="1" customWidth="1"/>
    <col min="175" max="175" width="7.703125" bestFit="1" customWidth="1"/>
    <col min="176" max="176" width="11.87890625" bestFit="1" customWidth="1"/>
    <col min="177" max="177" width="7.703125" bestFit="1" customWidth="1"/>
    <col min="178" max="178" width="11.87890625" bestFit="1" customWidth="1"/>
    <col min="179" max="179" width="7.703125" bestFit="1" customWidth="1"/>
    <col min="180" max="180" width="11.87890625" bestFit="1" customWidth="1"/>
    <col min="181" max="181" width="7.703125" bestFit="1" customWidth="1"/>
    <col min="182" max="182" width="11.87890625" bestFit="1" customWidth="1"/>
    <col min="183" max="183" width="7.703125" bestFit="1" customWidth="1"/>
    <col min="184" max="184" width="11.87890625" bestFit="1" customWidth="1"/>
    <col min="185" max="185" width="7.703125" bestFit="1" customWidth="1"/>
    <col min="186" max="186" width="11.87890625" bestFit="1" customWidth="1"/>
    <col min="187" max="187" width="7.703125" bestFit="1" customWidth="1"/>
    <col min="188" max="188" width="11.87890625" bestFit="1" customWidth="1"/>
    <col min="189" max="189" width="7.703125" bestFit="1" customWidth="1"/>
    <col min="190" max="190" width="11.87890625" bestFit="1" customWidth="1"/>
    <col min="191" max="191" width="7.703125" bestFit="1" customWidth="1"/>
    <col min="192" max="192" width="11.87890625" bestFit="1" customWidth="1"/>
    <col min="193" max="193" width="7.703125" bestFit="1" customWidth="1"/>
    <col min="194" max="194" width="11.87890625" bestFit="1" customWidth="1"/>
    <col min="195" max="195" width="7.703125" bestFit="1" customWidth="1"/>
    <col min="196" max="196" width="11.87890625" bestFit="1" customWidth="1"/>
    <col min="197" max="197" width="7.703125" bestFit="1" customWidth="1"/>
    <col min="198" max="198" width="11.87890625" bestFit="1" customWidth="1"/>
    <col min="199" max="199" width="7.703125" bestFit="1" customWidth="1"/>
    <col min="200" max="200" width="11.87890625" bestFit="1" customWidth="1"/>
    <col min="201" max="201" width="7.703125" bestFit="1" customWidth="1"/>
    <col min="202" max="202" width="11.87890625" bestFit="1" customWidth="1"/>
    <col min="203" max="203" width="7.703125" bestFit="1" customWidth="1"/>
    <col min="204" max="204" width="11.87890625" bestFit="1" customWidth="1"/>
    <col min="205" max="205" width="7.703125" bestFit="1" customWidth="1"/>
    <col min="206" max="206" width="11.87890625" bestFit="1" customWidth="1"/>
    <col min="207" max="207" width="7.703125" bestFit="1" customWidth="1"/>
    <col min="208" max="208" width="11.87890625" bestFit="1" customWidth="1"/>
    <col min="209" max="209" width="7.703125" bestFit="1" customWidth="1"/>
    <col min="210" max="210" width="11.87890625" bestFit="1" customWidth="1"/>
    <col min="211" max="211" width="7.703125" bestFit="1" customWidth="1"/>
    <col min="212" max="212" width="11.87890625" bestFit="1" customWidth="1"/>
    <col min="213" max="213" width="7.703125" bestFit="1" customWidth="1"/>
    <col min="214" max="214" width="11.87890625" bestFit="1" customWidth="1"/>
    <col min="215" max="215" width="7.703125" bestFit="1" customWidth="1"/>
    <col min="216" max="216" width="11.87890625" bestFit="1" customWidth="1"/>
    <col min="217" max="217" width="7.703125" bestFit="1" customWidth="1"/>
    <col min="218" max="218" width="11.87890625" bestFit="1" customWidth="1"/>
    <col min="219" max="219" width="7.703125" bestFit="1" customWidth="1"/>
    <col min="220" max="220" width="11.87890625" bestFit="1" customWidth="1"/>
    <col min="221" max="221" width="7.703125" bestFit="1" customWidth="1"/>
    <col min="222" max="222" width="11.87890625" bestFit="1" customWidth="1"/>
    <col min="223" max="223" width="7.703125" bestFit="1" customWidth="1"/>
    <col min="224" max="224" width="11.87890625" bestFit="1" customWidth="1"/>
    <col min="225" max="225" width="7.703125" bestFit="1" customWidth="1"/>
    <col min="226" max="226" width="11.87890625" bestFit="1" customWidth="1"/>
    <col min="227" max="227" width="8.703125" bestFit="1" customWidth="1"/>
    <col min="228" max="228" width="10.5859375" bestFit="1" customWidth="1"/>
    <col min="229" max="229" width="8.703125" bestFit="1" customWidth="1"/>
    <col min="230" max="230" width="10.5859375" bestFit="1" customWidth="1"/>
    <col min="231" max="231" width="8.703125" bestFit="1" customWidth="1"/>
    <col min="232" max="232" width="10.5859375" bestFit="1" customWidth="1"/>
    <col min="233" max="233" width="8.703125" bestFit="1" customWidth="1"/>
    <col min="234" max="234" width="10.5859375" bestFit="1" customWidth="1"/>
    <col min="235" max="235" width="8.703125" bestFit="1" customWidth="1"/>
    <col min="236" max="236" width="10.5859375" bestFit="1" customWidth="1"/>
    <col min="237" max="237" width="8.703125" bestFit="1" customWidth="1"/>
    <col min="238" max="238" width="10.5859375" bestFit="1" customWidth="1"/>
    <col min="239" max="239" width="8.703125" bestFit="1" customWidth="1"/>
    <col min="240" max="240" width="10.5859375" bestFit="1" customWidth="1"/>
    <col min="241" max="241" width="8.703125" bestFit="1" customWidth="1"/>
    <col min="242" max="242" width="10.5859375" bestFit="1" customWidth="1"/>
    <col min="243" max="243" width="8.703125" bestFit="1" customWidth="1"/>
    <col min="244" max="244" width="10.5859375" bestFit="1" customWidth="1"/>
    <col min="245" max="245" width="8.703125" bestFit="1" customWidth="1"/>
    <col min="246" max="246" width="10.5859375" bestFit="1" customWidth="1"/>
    <col min="247" max="247" width="8.703125" bestFit="1" customWidth="1"/>
    <col min="248" max="248" width="10.5859375" bestFit="1" customWidth="1"/>
    <col min="249" max="249" width="8.703125" bestFit="1" customWidth="1"/>
    <col min="250" max="250" width="10.5859375" bestFit="1" customWidth="1"/>
    <col min="251" max="251" width="8.703125" bestFit="1" customWidth="1"/>
    <col min="252" max="252" width="10.5859375" bestFit="1" customWidth="1"/>
    <col min="253" max="253" width="8.703125" bestFit="1" customWidth="1"/>
    <col min="254" max="254" width="10.5859375" bestFit="1" customWidth="1"/>
    <col min="255" max="255" width="8.703125" bestFit="1" customWidth="1"/>
    <col min="256" max="256" width="10.5859375" bestFit="1" customWidth="1"/>
    <col min="257" max="257" width="8.703125" bestFit="1" customWidth="1"/>
    <col min="258" max="258" width="10.5859375" bestFit="1" customWidth="1"/>
    <col min="259" max="259" width="8.703125" bestFit="1" customWidth="1"/>
    <col min="260" max="260" width="10.5859375" bestFit="1" customWidth="1"/>
    <col min="261" max="261" width="8.703125" bestFit="1" customWidth="1"/>
    <col min="262" max="262" width="10.5859375" bestFit="1" customWidth="1"/>
    <col min="263" max="263" width="8.703125" bestFit="1" customWidth="1"/>
    <col min="264" max="264" width="10.5859375" bestFit="1" customWidth="1"/>
    <col min="265" max="265" width="8.703125" bestFit="1" customWidth="1"/>
    <col min="266" max="266" width="10.5859375" bestFit="1" customWidth="1"/>
    <col min="267" max="267" width="8.703125" bestFit="1" customWidth="1"/>
    <col min="268" max="268" width="10.5859375" bestFit="1" customWidth="1"/>
    <col min="269" max="269" width="8.703125" bestFit="1" customWidth="1"/>
    <col min="270" max="270" width="10.5859375" bestFit="1" customWidth="1"/>
    <col min="271" max="271" width="8.703125" bestFit="1" customWidth="1"/>
    <col min="272" max="272" width="10.5859375" bestFit="1" customWidth="1"/>
    <col min="273" max="273" width="8.703125" bestFit="1" customWidth="1"/>
    <col min="274" max="274" width="10.5859375" bestFit="1" customWidth="1"/>
    <col min="275" max="275" width="8.703125" bestFit="1" customWidth="1"/>
    <col min="276" max="276" width="10.5859375" bestFit="1" customWidth="1"/>
    <col min="277" max="277" width="8.703125" bestFit="1" customWidth="1"/>
    <col min="278" max="278" width="10.5859375" bestFit="1" customWidth="1"/>
    <col min="279" max="279" width="8.703125" bestFit="1" customWidth="1"/>
    <col min="280" max="280" width="10.5859375" bestFit="1" customWidth="1"/>
    <col min="281" max="281" width="8.703125" bestFit="1" customWidth="1"/>
    <col min="282" max="282" width="10.5859375" bestFit="1" customWidth="1"/>
    <col min="283" max="283" width="8.703125" bestFit="1" customWidth="1"/>
    <col min="284" max="284" width="10.5859375" bestFit="1" customWidth="1"/>
    <col min="285" max="285" width="8.703125" bestFit="1" customWidth="1"/>
    <col min="286" max="286" width="10.5859375" bestFit="1" customWidth="1"/>
    <col min="287" max="287" width="8.703125" bestFit="1" customWidth="1"/>
    <col min="288" max="288" width="10.5859375" bestFit="1" customWidth="1"/>
    <col min="289" max="289" width="8.703125" bestFit="1" customWidth="1"/>
    <col min="290" max="290" width="10.5859375" bestFit="1" customWidth="1"/>
    <col min="291" max="291" width="8.703125" bestFit="1" customWidth="1"/>
    <col min="292" max="292" width="10.5859375" bestFit="1" customWidth="1"/>
    <col min="293" max="293" width="8.703125" bestFit="1" customWidth="1"/>
    <col min="294" max="294" width="10.5859375" bestFit="1" customWidth="1"/>
    <col min="295" max="295" width="8.703125" bestFit="1" customWidth="1"/>
    <col min="296" max="296" width="10.5859375" bestFit="1" customWidth="1"/>
    <col min="297" max="297" width="8.703125" bestFit="1" customWidth="1"/>
    <col min="298" max="298" width="10.5859375" bestFit="1" customWidth="1"/>
    <col min="299" max="299" width="8.703125" bestFit="1" customWidth="1"/>
    <col min="300" max="300" width="10.5859375" bestFit="1" customWidth="1"/>
    <col min="301" max="301" width="8.703125" bestFit="1" customWidth="1"/>
    <col min="302" max="302" width="10.5859375" bestFit="1" customWidth="1"/>
    <col min="303" max="303" width="8.703125" bestFit="1" customWidth="1"/>
    <col min="304" max="304" width="10.5859375" bestFit="1" customWidth="1"/>
    <col min="305" max="305" width="8.703125" bestFit="1" customWidth="1"/>
    <col min="306" max="306" width="10.5859375" bestFit="1" customWidth="1"/>
    <col min="307" max="307" width="8.703125" bestFit="1" customWidth="1"/>
    <col min="308" max="308" width="10.5859375" bestFit="1" customWidth="1"/>
    <col min="309" max="309" width="8.703125" bestFit="1" customWidth="1"/>
    <col min="310" max="310" width="10.5859375" bestFit="1" customWidth="1"/>
    <col min="311" max="311" width="8.703125" bestFit="1" customWidth="1"/>
    <col min="312" max="312" width="10.5859375" bestFit="1" customWidth="1"/>
    <col min="313" max="313" width="8.703125" bestFit="1" customWidth="1"/>
    <col min="314" max="314" width="10.5859375" bestFit="1" customWidth="1"/>
    <col min="315" max="315" width="8.703125" bestFit="1" customWidth="1"/>
    <col min="316" max="316" width="10.5859375" bestFit="1" customWidth="1"/>
    <col min="317" max="317" width="8.703125" bestFit="1" customWidth="1"/>
    <col min="318" max="318" width="10.5859375" bestFit="1" customWidth="1"/>
    <col min="319" max="319" width="8.703125" bestFit="1" customWidth="1"/>
    <col min="320" max="320" width="10.5859375" bestFit="1" customWidth="1"/>
    <col min="321" max="321" width="8.703125" bestFit="1" customWidth="1"/>
    <col min="322" max="322" width="10.5859375" bestFit="1" customWidth="1"/>
    <col min="323" max="323" width="8.703125" bestFit="1" customWidth="1"/>
    <col min="324" max="324" width="10.5859375" bestFit="1" customWidth="1"/>
    <col min="325" max="325" width="8.703125" bestFit="1" customWidth="1"/>
    <col min="326" max="326" width="10.5859375" bestFit="1" customWidth="1"/>
    <col min="327" max="327" width="8.703125" bestFit="1" customWidth="1"/>
    <col min="328" max="328" width="12.87890625" bestFit="1" customWidth="1"/>
    <col min="329" max="329" width="25.5859375" bestFit="1" customWidth="1"/>
  </cols>
  <sheetData>
    <row r="1" spans="1:25" x14ac:dyDescent="0.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O1" s="1" t="s">
        <v>16</v>
      </c>
      <c r="P1" t="s">
        <v>15</v>
      </c>
    </row>
    <row r="2" spans="1:25" x14ac:dyDescent="0.5">
      <c r="A2">
        <v>1</v>
      </c>
      <c r="B2">
        <v>5.0999999999999996</v>
      </c>
      <c r="C2">
        <v>3.5</v>
      </c>
      <c r="D2">
        <v>1.4</v>
      </c>
      <c r="E2">
        <v>0.2</v>
      </c>
      <c r="F2" t="s">
        <v>6</v>
      </c>
      <c r="H2" t="s">
        <v>9</v>
      </c>
      <c r="I2">
        <f>COUNTBLANK(iris[SepalLengthCm])</f>
        <v>0</v>
      </c>
      <c r="J2">
        <f>COUNTBLANK(iris[SepalWidthCm])</f>
        <v>0</v>
      </c>
      <c r="K2">
        <f>COUNTBLANK(iris[PetalLengthCm])</f>
        <v>0</v>
      </c>
      <c r="L2">
        <f>COUNTBLANK(iris[PetalWidthCm])</f>
        <v>0</v>
      </c>
      <c r="M2">
        <f>COUNTBLANK(iris[Species])</f>
        <v>0</v>
      </c>
      <c r="O2" s="2" t="s">
        <v>6</v>
      </c>
      <c r="P2">
        <v>50</v>
      </c>
    </row>
    <row r="3" spans="1:25" x14ac:dyDescent="0.5">
      <c r="A3">
        <v>2</v>
      </c>
      <c r="B3">
        <v>4.9000000000000004</v>
      </c>
      <c r="C3">
        <v>3</v>
      </c>
      <c r="D3">
        <v>1.4</v>
      </c>
      <c r="E3">
        <v>0.2</v>
      </c>
      <c r="F3" t="s">
        <v>6</v>
      </c>
      <c r="H3" t="s">
        <v>10</v>
      </c>
      <c r="I3" s="3">
        <f>AVERAGE(iris[SepalLengthCm])</f>
        <v>5.8433333333333346</v>
      </c>
      <c r="J3" s="3">
        <f>AVERAGE(iris[SepalWidthCm])</f>
        <v>3.0540000000000007</v>
      </c>
      <c r="K3" s="3">
        <f>AVERAGE(iris[PetalLengthCm])</f>
        <v>3.7586666666666693</v>
      </c>
      <c r="L3" s="3">
        <f>AVERAGE(iris[PetalWidthCm])</f>
        <v>1.1986666666666672</v>
      </c>
      <c r="M3" s="3"/>
      <c r="O3" s="2" t="s">
        <v>7</v>
      </c>
      <c r="P3">
        <v>50</v>
      </c>
    </row>
    <row r="4" spans="1:25" x14ac:dyDescent="0.5">
      <c r="A4">
        <v>3</v>
      </c>
      <c r="B4">
        <v>4.7</v>
      </c>
      <c r="C4">
        <v>3.2</v>
      </c>
      <c r="D4">
        <v>1.3</v>
      </c>
      <c r="E4">
        <v>0.2</v>
      </c>
      <c r="F4" t="s">
        <v>6</v>
      </c>
      <c r="H4" t="s">
        <v>11</v>
      </c>
      <c r="I4" s="3">
        <f>MEDIAN(iris[SepalLengthCm])</f>
        <v>5.8</v>
      </c>
      <c r="J4" s="3">
        <f>MEDIAN(iris[SepalWidthCm])</f>
        <v>3</v>
      </c>
      <c r="K4" s="3">
        <f>MEDIAN(iris[PetalLengthCm])</f>
        <v>4.3499999999999996</v>
      </c>
      <c r="L4" s="3">
        <f>MEDIAN(iris[PetalWidthCm])</f>
        <v>1.3</v>
      </c>
      <c r="M4" s="3"/>
      <c r="O4" s="2" t="s">
        <v>8</v>
      </c>
      <c r="P4">
        <v>50</v>
      </c>
    </row>
    <row r="5" spans="1:25" x14ac:dyDescent="0.5">
      <c r="A5">
        <v>4</v>
      </c>
      <c r="B5">
        <v>4.5999999999999996</v>
      </c>
      <c r="C5">
        <v>3.1</v>
      </c>
      <c r="D5">
        <v>1.5</v>
      </c>
      <c r="E5">
        <v>0.2</v>
      </c>
      <c r="F5" t="s">
        <v>6</v>
      </c>
      <c r="H5" t="s">
        <v>12</v>
      </c>
      <c r="I5" s="3">
        <f>MIN(iris[SepalLengthCm])</f>
        <v>4.3</v>
      </c>
      <c r="J5" s="3">
        <f>MIN(iris[SepalWidthCm])</f>
        <v>2</v>
      </c>
      <c r="K5" s="3">
        <f>MIN(iris[PetalLengthCm])</f>
        <v>1</v>
      </c>
      <c r="L5" s="3">
        <f>MIN(iris[PetalWidthCm])</f>
        <v>0.1</v>
      </c>
      <c r="M5" s="3"/>
    </row>
    <row r="6" spans="1:25" x14ac:dyDescent="0.5">
      <c r="A6">
        <v>5</v>
      </c>
      <c r="B6">
        <v>5</v>
      </c>
      <c r="C6">
        <v>3.6</v>
      </c>
      <c r="D6">
        <v>1.4</v>
      </c>
      <c r="E6">
        <v>0.2</v>
      </c>
      <c r="F6" t="s">
        <v>6</v>
      </c>
      <c r="H6" t="s">
        <v>13</v>
      </c>
      <c r="I6" s="3">
        <f>MAX(iris[SepalLengthCm])</f>
        <v>7.9</v>
      </c>
      <c r="J6" s="3">
        <f>MAX(iris[SepalWidthCm])</f>
        <v>4.4000000000000004</v>
      </c>
      <c r="K6" s="3">
        <f>MAX(iris[PetalLengthCm])</f>
        <v>6.9</v>
      </c>
      <c r="L6" s="3">
        <f>MAX(iris[PetalWidthCm])</f>
        <v>2.5</v>
      </c>
      <c r="M6" s="3"/>
    </row>
    <row r="7" spans="1:25" x14ac:dyDescent="0.5">
      <c r="A7">
        <v>6</v>
      </c>
      <c r="B7">
        <v>5.4</v>
      </c>
      <c r="C7">
        <v>3.9</v>
      </c>
      <c r="D7">
        <v>1.7</v>
      </c>
      <c r="E7">
        <v>0.4</v>
      </c>
      <c r="F7" t="s">
        <v>6</v>
      </c>
      <c r="H7" t="s">
        <v>14</v>
      </c>
      <c r="I7" s="3">
        <f>_xlfn.STDEV.P(iris[SepalLengthCm])</f>
        <v>0.82530129178512213</v>
      </c>
      <c r="J7" s="3">
        <f>_xlfn.STDEV.P(iris[SepalWidthCm])</f>
        <v>0.43214658007052925</v>
      </c>
      <c r="K7" s="3">
        <f>_xlfn.STDEV.P(iris[PetalLengthCm])</f>
        <v>1.7585291834055159</v>
      </c>
      <c r="L7" s="3">
        <f>_xlfn.STDEV.P(iris[PetalWidthCm])</f>
        <v>0.76061261858817131</v>
      </c>
      <c r="M7" s="3"/>
    </row>
    <row r="8" spans="1:25" x14ac:dyDescent="0.5">
      <c r="A8">
        <v>7</v>
      </c>
      <c r="B8">
        <v>4.5999999999999996</v>
      </c>
      <c r="C8">
        <v>3.4</v>
      </c>
      <c r="D8">
        <v>1.4</v>
      </c>
      <c r="E8">
        <v>0.3</v>
      </c>
      <c r="F8" t="s">
        <v>6</v>
      </c>
    </row>
    <row r="9" spans="1:25" x14ac:dyDescent="0.5">
      <c r="A9">
        <v>8</v>
      </c>
      <c r="B9">
        <v>5</v>
      </c>
      <c r="C9">
        <v>3.4</v>
      </c>
      <c r="D9">
        <v>1.5</v>
      </c>
      <c r="E9">
        <v>0.2</v>
      </c>
      <c r="F9" t="s">
        <v>6</v>
      </c>
    </row>
    <row r="10" spans="1:25" x14ac:dyDescent="0.5">
      <c r="A10">
        <v>9</v>
      </c>
      <c r="B10">
        <v>4.4000000000000004</v>
      </c>
      <c r="C10">
        <v>2.9</v>
      </c>
      <c r="D10">
        <v>1.4</v>
      </c>
      <c r="E10">
        <v>0.2</v>
      </c>
      <c r="F10" t="s">
        <v>6</v>
      </c>
    </row>
    <row r="11" spans="1:25" x14ac:dyDescent="0.5">
      <c r="A11">
        <v>10</v>
      </c>
      <c r="B11">
        <v>4.9000000000000004</v>
      </c>
      <c r="C11">
        <v>3.1</v>
      </c>
      <c r="D11">
        <v>1.5</v>
      </c>
      <c r="E11">
        <v>0.1</v>
      </c>
      <c r="F11" t="s">
        <v>6</v>
      </c>
    </row>
    <row r="12" spans="1:25" x14ac:dyDescent="0.5">
      <c r="A12">
        <v>11</v>
      </c>
      <c r="B12">
        <v>5.4</v>
      </c>
      <c r="C12">
        <v>3.7</v>
      </c>
      <c r="D12">
        <v>1.5</v>
      </c>
      <c r="E12">
        <v>0.2</v>
      </c>
      <c r="F12" t="s">
        <v>6</v>
      </c>
      <c r="O12" s="4" t="s">
        <v>20</v>
      </c>
      <c r="P12" s="4"/>
      <c r="Q12" s="4"/>
      <c r="R12" s="4"/>
      <c r="S12" s="4"/>
      <c r="U12" s="4" t="s">
        <v>3</v>
      </c>
      <c r="V12" s="4"/>
      <c r="W12" s="4"/>
      <c r="X12" s="4"/>
      <c r="Y12" s="4"/>
    </row>
    <row r="13" spans="1:25" x14ac:dyDescent="0.5">
      <c r="A13">
        <v>12</v>
      </c>
      <c r="B13">
        <v>4.8</v>
      </c>
      <c r="C13">
        <v>3.4</v>
      </c>
      <c r="D13">
        <v>1.6</v>
      </c>
      <c r="E13">
        <v>0.2</v>
      </c>
      <c r="F13" t="s">
        <v>6</v>
      </c>
      <c r="P13" s="1" t="s">
        <v>16</v>
      </c>
      <c r="V13" s="1" t="s">
        <v>16</v>
      </c>
    </row>
    <row r="14" spans="1:25" x14ac:dyDescent="0.5">
      <c r="A14">
        <v>13</v>
      </c>
      <c r="B14">
        <v>4.8</v>
      </c>
      <c r="C14">
        <v>3</v>
      </c>
      <c r="D14">
        <v>1.4</v>
      </c>
      <c r="E14">
        <v>0.1</v>
      </c>
      <c r="F14" t="s">
        <v>6</v>
      </c>
      <c r="O14" s="1" t="s">
        <v>17</v>
      </c>
      <c r="P14" t="s">
        <v>6</v>
      </c>
      <c r="Q14" t="s">
        <v>7</v>
      </c>
      <c r="R14" t="s">
        <v>8</v>
      </c>
      <c r="S14" t="s">
        <v>21</v>
      </c>
      <c r="U14" s="1" t="s">
        <v>17</v>
      </c>
      <c r="V14" t="s">
        <v>6</v>
      </c>
      <c r="W14" t="s">
        <v>7</v>
      </c>
      <c r="X14" t="s">
        <v>8</v>
      </c>
      <c r="Y14" t="s">
        <v>21</v>
      </c>
    </row>
    <row r="15" spans="1:25" x14ac:dyDescent="0.5">
      <c r="A15">
        <v>14</v>
      </c>
      <c r="B15">
        <v>4.3</v>
      </c>
      <c r="C15">
        <v>3</v>
      </c>
      <c r="D15">
        <v>1.1000000000000001</v>
      </c>
      <c r="E15">
        <v>0.1</v>
      </c>
      <c r="F15" t="s">
        <v>6</v>
      </c>
      <c r="O15" s="2" t="s">
        <v>10</v>
      </c>
      <c r="P15" s="3">
        <v>5.0059999999999993</v>
      </c>
      <c r="Q15" s="3">
        <v>5.9359999999999999</v>
      </c>
      <c r="R15" s="3">
        <v>6.5879999999999983</v>
      </c>
      <c r="S15" s="3">
        <v>5.8433333333333346</v>
      </c>
      <c r="U15" s="2" t="s">
        <v>10</v>
      </c>
      <c r="V15" s="3">
        <v>1.464</v>
      </c>
      <c r="W15" s="3">
        <v>4.26</v>
      </c>
      <c r="X15" s="3">
        <v>5.5519999999999996</v>
      </c>
      <c r="Y15" s="3">
        <v>3.7586666666666693</v>
      </c>
    </row>
    <row r="16" spans="1:25" x14ac:dyDescent="0.5">
      <c r="A16">
        <v>15</v>
      </c>
      <c r="B16">
        <v>5.8</v>
      </c>
      <c r="C16">
        <v>4</v>
      </c>
      <c r="D16">
        <v>1.2</v>
      </c>
      <c r="E16">
        <v>0.2</v>
      </c>
      <c r="F16" t="s">
        <v>6</v>
      </c>
      <c r="O16" s="2" t="s">
        <v>13</v>
      </c>
      <c r="P16" s="3">
        <v>5.8</v>
      </c>
      <c r="Q16" s="3">
        <v>7</v>
      </c>
      <c r="R16" s="3">
        <v>7.9</v>
      </c>
      <c r="S16" s="3">
        <v>7.9</v>
      </c>
      <c r="U16" s="2" t="s">
        <v>13</v>
      </c>
      <c r="V16" s="3">
        <v>1.9</v>
      </c>
      <c r="W16" s="3">
        <v>5.0999999999999996</v>
      </c>
      <c r="X16" s="3">
        <v>6.9</v>
      </c>
      <c r="Y16" s="3">
        <v>6.9</v>
      </c>
    </row>
    <row r="17" spans="1:25" x14ac:dyDescent="0.5">
      <c r="A17">
        <v>16</v>
      </c>
      <c r="B17">
        <v>5.7</v>
      </c>
      <c r="C17">
        <v>4.4000000000000004</v>
      </c>
      <c r="D17">
        <v>1.5</v>
      </c>
      <c r="E17">
        <v>0.4</v>
      </c>
      <c r="F17" t="s">
        <v>6</v>
      </c>
      <c r="O17" s="2" t="s">
        <v>12</v>
      </c>
      <c r="P17" s="3">
        <v>4.3</v>
      </c>
      <c r="Q17" s="3">
        <v>4.9000000000000004</v>
      </c>
      <c r="R17" s="3">
        <v>4.9000000000000004</v>
      </c>
      <c r="S17" s="3">
        <v>4.3</v>
      </c>
      <c r="U17" s="2" t="s">
        <v>12</v>
      </c>
      <c r="V17" s="3">
        <v>1</v>
      </c>
      <c r="W17" s="3">
        <v>3</v>
      </c>
      <c r="X17" s="3">
        <v>4.5</v>
      </c>
      <c r="Y17" s="3">
        <v>1</v>
      </c>
    </row>
    <row r="18" spans="1:25" x14ac:dyDescent="0.5">
      <c r="A18">
        <v>17</v>
      </c>
      <c r="B18">
        <v>5.4</v>
      </c>
      <c r="C18">
        <v>3.9</v>
      </c>
      <c r="D18">
        <v>1.3</v>
      </c>
      <c r="E18">
        <v>0.4</v>
      </c>
      <c r="F18" t="s">
        <v>6</v>
      </c>
      <c r="O18" s="2" t="s">
        <v>18</v>
      </c>
      <c r="P18" s="3">
        <v>0.35248968721344887</v>
      </c>
      <c r="Q18" s="3">
        <v>0.51617114706387268</v>
      </c>
      <c r="R18" s="3">
        <v>0.63587959327445642</v>
      </c>
      <c r="S18" s="3">
        <v>0.82806612797784351</v>
      </c>
      <c r="U18" s="2" t="s">
        <v>18</v>
      </c>
      <c r="V18" s="3">
        <v>0.17351115943644299</v>
      </c>
      <c r="W18" s="3">
        <v>0.46991097723996639</v>
      </c>
      <c r="X18" s="3">
        <v>0.55189469566397931</v>
      </c>
      <c r="Y18" s="3">
        <v>1.764420419952258</v>
      </c>
    </row>
    <row r="19" spans="1:25" x14ac:dyDescent="0.5">
      <c r="A19">
        <v>18</v>
      </c>
      <c r="B19">
        <v>5.0999999999999996</v>
      </c>
      <c r="C19">
        <v>3.5</v>
      </c>
      <c r="D19">
        <v>1.4</v>
      </c>
      <c r="E19">
        <v>0.3</v>
      </c>
      <c r="F19" t="s">
        <v>6</v>
      </c>
      <c r="O19" s="2" t="s">
        <v>19</v>
      </c>
      <c r="P19" s="3">
        <v>0.12176399999999848</v>
      </c>
      <c r="Q19" s="3">
        <v>0.26110400000000955</v>
      </c>
      <c r="R19" s="3">
        <v>0.39625600000003469</v>
      </c>
      <c r="S19" s="3">
        <v>0.68112222222219121</v>
      </c>
      <c r="U19" s="2" t="s">
        <v>19</v>
      </c>
      <c r="V19" s="3">
        <v>2.9503999999998996E-2</v>
      </c>
      <c r="W19" s="3">
        <v>0.21640000000000581</v>
      </c>
      <c r="X19" s="3">
        <v>0.29849599999999626</v>
      </c>
      <c r="Y19" s="3">
        <v>3.0924248888888708</v>
      </c>
    </row>
    <row r="20" spans="1:25" x14ac:dyDescent="0.5">
      <c r="A20">
        <v>19</v>
      </c>
      <c r="B20">
        <v>5.7</v>
      </c>
      <c r="C20">
        <v>3.8</v>
      </c>
      <c r="D20">
        <v>1.7</v>
      </c>
      <c r="E20">
        <v>0.3</v>
      </c>
      <c r="F20" t="s">
        <v>6</v>
      </c>
    </row>
    <row r="21" spans="1:25" x14ac:dyDescent="0.5">
      <c r="A21">
        <v>20</v>
      </c>
      <c r="B21">
        <v>5.0999999999999996</v>
      </c>
      <c r="C21">
        <v>3.8</v>
      </c>
      <c r="D21">
        <v>1.5</v>
      </c>
      <c r="E21">
        <v>0.3</v>
      </c>
      <c r="F21" t="s">
        <v>6</v>
      </c>
      <c r="O21" s="4" t="s">
        <v>2</v>
      </c>
      <c r="P21" s="4"/>
      <c r="Q21" s="4"/>
      <c r="R21" s="4"/>
      <c r="S21" s="4"/>
      <c r="U21" s="4" t="s">
        <v>4</v>
      </c>
      <c r="V21" s="4"/>
      <c r="W21" s="4"/>
      <c r="X21" s="4"/>
      <c r="Y21" s="4"/>
    </row>
    <row r="22" spans="1:25" x14ac:dyDescent="0.5">
      <c r="A22">
        <v>21</v>
      </c>
      <c r="B22">
        <v>5.4</v>
      </c>
      <c r="C22">
        <v>3.4</v>
      </c>
      <c r="D22">
        <v>1.7</v>
      </c>
      <c r="E22">
        <v>0.2</v>
      </c>
      <c r="F22" t="s">
        <v>6</v>
      </c>
      <c r="P22" s="1" t="s">
        <v>16</v>
      </c>
      <c r="V22" s="1" t="s">
        <v>16</v>
      </c>
    </row>
    <row r="23" spans="1:25" x14ac:dyDescent="0.5">
      <c r="A23">
        <v>22</v>
      </c>
      <c r="B23">
        <v>5.0999999999999996</v>
      </c>
      <c r="C23">
        <v>3.7</v>
      </c>
      <c r="D23">
        <v>1.5</v>
      </c>
      <c r="E23">
        <v>0.4</v>
      </c>
      <c r="F23" t="s">
        <v>6</v>
      </c>
      <c r="O23" s="1" t="s">
        <v>17</v>
      </c>
      <c r="P23" t="s">
        <v>6</v>
      </c>
      <c r="Q23" t="s">
        <v>7</v>
      </c>
      <c r="R23" t="s">
        <v>8</v>
      </c>
      <c r="S23" t="s">
        <v>21</v>
      </c>
      <c r="U23" s="1" t="s">
        <v>17</v>
      </c>
      <c r="V23" t="s">
        <v>6</v>
      </c>
      <c r="W23" t="s">
        <v>7</v>
      </c>
      <c r="X23" t="s">
        <v>8</v>
      </c>
      <c r="Y23" t="s">
        <v>21</v>
      </c>
    </row>
    <row r="24" spans="1:25" x14ac:dyDescent="0.5">
      <c r="A24">
        <v>23</v>
      </c>
      <c r="B24">
        <v>4.5999999999999996</v>
      </c>
      <c r="C24">
        <v>3.6</v>
      </c>
      <c r="D24">
        <v>1</v>
      </c>
      <c r="E24">
        <v>0.2</v>
      </c>
      <c r="F24" t="s">
        <v>6</v>
      </c>
      <c r="O24" s="2" t="s">
        <v>10</v>
      </c>
      <c r="P24" s="3">
        <v>3.4180000000000006</v>
      </c>
      <c r="Q24" s="3">
        <v>2.7700000000000005</v>
      </c>
      <c r="R24" s="3">
        <v>2.9739999999999998</v>
      </c>
      <c r="S24" s="3">
        <v>3.0540000000000007</v>
      </c>
      <c r="U24" s="2" t="s">
        <v>10</v>
      </c>
      <c r="V24" s="3">
        <v>0.24399999999999991</v>
      </c>
      <c r="W24" s="3">
        <v>1.3259999999999998</v>
      </c>
      <c r="X24" s="3">
        <v>2.0259999999999998</v>
      </c>
      <c r="Y24" s="3">
        <v>1.1986666666666672</v>
      </c>
    </row>
    <row r="25" spans="1:25" x14ac:dyDescent="0.5">
      <c r="A25">
        <v>24</v>
      </c>
      <c r="B25">
        <v>5.0999999999999996</v>
      </c>
      <c r="C25">
        <v>3.3</v>
      </c>
      <c r="D25">
        <v>1.7</v>
      </c>
      <c r="E25">
        <v>0.5</v>
      </c>
      <c r="F25" t="s">
        <v>6</v>
      </c>
      <c r="O25" s="2" t="s">
        <v>13</v>
      </c>
      <c r="P25" s="3">
        <v>4.4000000000000004</v>
      </c>
      <c r="Q25" s="3">
        <v>3.4</v>
      </c>
      <c r="R25" s="3">
        <v>3.8</v>
      </c>
      <c r="S25" s="3">
        <v>4.4000000000000004</v>
      </c>
      <c r="U25" s="2" t="s">
        <v>13</v>
      </c>
      <c r="V25" s="3">
        <v>0.6</v>
      </c>
      <c r="W25" s="3">
        <v>1.8</v>
      </c>
      <c r="X25" s="3">
        <v>2.5</v>
      </c>
      <c r="Y25" s="3">
        <v>2.5</v>
      </c>
    </row>
    <row r="26" spans="1:25" x14ac:dyDescent="0.5">
      <c r="A26">
        <v>25</v>
      </c>
      <c r="B26">
        <v>4.8</v>
      </c>
      <c r="C26">
        <v>3.4</v>
      </c>
      <c r="D26">
        <v>1.9</v>
      </c>
      <c r="E26">
        <v>0.2</v>
      </c>
      <c r="F26" t="s">
        <v>6</v>
      </c>
      <c r="O26" s="2" t="s">
        <v>12</v>
      </c>
      <c r="P26" s="3">
        <v>2.2999999999999998</v>
      </c>
      <c r="Q26" s="3">
        <v>2</v>
      </c>
      <c r="R26" s="3">
        <v>2.2000000000000002</v>
      </c>
      <c r="S26" s="3">
        <v>2</v>
      </c>
      <c r="U26" s="2" t="s">
        <v>12</v>
      </c>
      <c r="V26" s="3">
        <v>0.1</v>
      </c>
      <c r="W26" s="3">
        <v>1</v>
      </c>
      <c r="X26" s="3">
        <v>1.4</v>
      </c>
      <c r="Y26" s="3">
        <v>0.1</v>
      </c>
    </row>
    <row r="27" spans="1:25" x14ac:dyDescent="0.5">
      <c r="A27">
        <v>26</v>
      </c>
      <c r="B27">
        <v>5</v>
      </c>
      <c r="C27">
        <v>3</v>
      </c>
      <c r="D27">
        <v>1.6</v>
      </c>
      <c r="E27">
        <v>0.2</v>
      </c>
      <c r="F27" t="s">
        <v>6</v>
      </c>
      <c r="O27" s="2" t="s">
        <v>18</v>
      </c>
      <c r="P27" s="3">
        <v>0.38102439795469012</v>
      </c>
      <c r="Q27" s="3">
        <v>0.31379832337840918</v>
      </c>
      <c r="R27" s="3">
        <v>0.32249663817263963</v>
      </c>
      <c r="S27" s="3">
        <v>0.4335943113621597</v>
      </c>
      <c r="U27" s="2" t="s">
        <v>18</v>
      </c>
      <c r="V27" s="3">
        <v>0.10720950308167866</v>
      </c>
      <c r="W27" s="3">
        <v>0.19775268000454274</v>
      </c>
      <c r="X27" s="3">
        <v>0.27465005563666967</v>
      </c>
      <c r="Y27" s="3">
        <v>0.76316074170084081</v>
      </c>
    </row>
    <row r="28" spans="1:25" x14ac:dyDescent="0.5">
      <c r="A28">
        <v>27</v>
      </c>
      <c r="B28">
        <v>5</v>
      </c>
      <c r="C28">
        <v>3.4</v>
      </c>
      <c r="D28">
        <v>1.6</v>
      </c>
      <c r="E28">
        <v>0.4</v>
      </c>
      <c r="F28" t="s">
        <v>6</v>
      </c>
      <c r="O28" s="2" t="s">
        <v>19</v>
      </c>
      <c r="P28" s="3">
        <v>0.14227599999999949</v>
      </c>
      <c r="Q28" s="3">
        <v>9.6499999999998545E-2</v>
      </c>
      <c r="R28" s="3">
        <v>0.10192400000000199</v>
      </c>
      <c r="S28" s="3">
        <v>0.18675066666665435</v>
      </c>
      <c r="U28" s="2" t="s">
        <v>19</v>
      </c>
      <c r="V28" s="3">
        <v>1.1264000000000055E-2</v>
      </c>
      <c r="W28" s="3">
        <v>3.8323999999999435E-2</v>
      </c>
      <c r="X28" s="3">
        <v>7.3924000000001253E-2</v>
      </c>
      <c r="Y28" s="3">
        <v>0.57853155555555502</v>
      </c>
    </row>
    <row r="29" spans="1:25" x14ac:dyDescent="0.5">
      <c r="A29">
        <v>28</v>
      </c>
      <c r="B29">
        <v>5.2</v>
      </c>
      <c r="C29">
        <v>3.5</v>
      </c>
      <c r="D29">
        <v>1.5</v>
      </c>
      <c r="E29">
        <v>0.2</v>
      </c>
      <c r="F29" t="s">
        <v>6</v>
      </c>
    </row>
    <row r="30" spans="1:25" x14ac:dyDescent="0.5">
      <c r="A30">
        <v>29</v>
      </c>
      <c r="B30">
        <v>5.2</v>
      </c>
      <c r="C30">
        <v>3.4</v>
      </c>
      <c r="D30">
        <v>1.4</v>
      </c>
      <c r="E30">
        <v>0.2</v>
      </c>
      <c r="F30" t="s">
        <v>6</v>
      </c>
    </row>
    <row r="31" spans="1:25" x14ac:dyDescent="0.5">
      <c r="A31">
        <v>30</v>
      </c>
      <c r="B31">
        <v>4.7</v>
      </c>
      <c r="C31">
        <v>3.2</v>
      </c>
      <c r="D31">
        <v>1.6</v>
      </c>
      <c r="E31">
        <v>0.2</v>
      </c>
      <c r="F31" t="s">
        <v>6</v>
      </c>
    </row>
    <row r="32" spans="1:25" x14ac:dyDescent="0.5">
      <c r="A32">
        <v>31</v>
      </c>
      <c r="B32">
        <v>4.8</v>
      </c>
      <c r="C32">
        <v>3.1</v>
      </c>
      <c r="D32">
        <v>1.6</v>
      </c>
      <c r="E32">
        <v>0.2</v>
      </c>
      <c r="F32" t="s">
        <v>6</v>
      </c>
    </row>
    <row r="33" spans="1:6" x14ac:dyDescent="0.5">
      <c r="A33">
        <v>32</v>
      </c>
      <c r="B33">
        <v>5.4</v>
      </c>
      <c r="C33">
        <v>3.4</v>
      </c>
      <c r="D33">
        <v>1.5</v>
      </c>
      <c r="E33">
        <v>0.4</v>
      </c>
      <c r="F33" t="s">
        <v>6</v>
      </c>
    </row>
    <row r="34" spans="1:6" x14ac:dyDescent="0.5">
      <c r="A34">
        <v>33</v>
      </c>
      <c r="B34">
        <v>5.2</v>
      </c>
      <c r="C34">
        <v>4.0999999999999996</v>
      </c>
      <c r="D34">
        <v>1.5</v>
      </c>
      <c r="E34">
        <v>0.1</v>
      </c>
      <c r="F34" t="s">
        <v>6</v>
      </c>
    </row>
    <row r="35" spans="1:6" x14ac:dyDescent="0.5">
      <c r="A35">
        <v>34</v>
      </c>
      <c r="B35">
        <v>5.5</v>
      </c>
      <c r="C35">
        <v>4.2</v>
      </c>
      <c r="D35">
        <v>1.4</v>
      </c>
      <c r="E35">
        <v>0.2</v>
      </c>
      <c r="F35" t="s">
        <v>6</v>
      </c>
    </row>
    <row r="36" spans="1:6" x14ac:dyDescent="0.5">
      <c r="A36">
        <v>35</v>
      </c>
      <c r="B36">
        <v>4.9000000000000004</v>
      </c>
      <c r="C36">
        <v>3.1</v>
      </c>
      <c r="D36">
        <v>1.5</v>
      </c>
      <c r="E36">
        <v>0.1</v>
      </c>
      <c r="F36" t="s">
        <v>6</v>
      </c>
    </row>
    <row r="37" spans="1:6" x14ac:dyDescent="0.5">
      <c r="A37">
        <v>36</v>
      </c>
      <c r="B37">
        <v>5</v>
      </c>
      <c r="C37">
        <v>3.2</v>
      </c>
      <c r="D37">
        <v>1.2</v>
      </c>
      <c r="E37">
        <v>0.2</v>
      </c>
      <c r="F37" t="s">
        <v>6</v>
      </c>
    </row>
    <row r="38" spans="1:6" x14ac:dyDescent="0.5">
      <c r="A38">
        <v>37</v>
      </c>
      <c r="B38">
        <v>5.5</v>
      </c>
      <c r="C38">
        <v>3.5</v>
      </c>
      <c r="D38">
        <v>1.3</v>
      </c>
      <c r="E38">
        <v>0.2</v>
      </c>
      <c r="F38" t="s">
        <v>6</v>
      </c>
    </row>
    <row r="39" spans="1:6" x14ac:dyDescent="0.5">
      <c r="A39">
        <v>38</v>
      </c>
      <c r="B39">
        <v>4.9000000000000004</v>
      </c>
      <c r="C39">
        <v>3.1</v>
      </c>
      <c r="D39">
        <v>1.5</v>
      </c>
      <c r="E39">
        <v>0.1</v>
      </c>
      <c r="F39" t="s">
        <v>6</v>
      </c>
    </row>
    <row r="40" spans="1:6" x14ac:dyDescent="0.5">
      <c r="A40">
        <v>39</v>
      </c>
      <c r="B40">
        <v>4.4000000000000004</v>
      </c>
      <c r="C40">
        <v>3</v>
      </c>
      <c r="D40">
        <v>1.3</v>
      </c>
      <c r="E40">
        <v>0.2</v>
      </c>
      <c r="F40" t="s">
        <v>6</v>
      </c>
    </row>
    <row r="41" spans="1:6" x14ac:dyDescent="0.5">
      <c r="A41">
        <v>40</v>
      </c>
      <c r="B41">
        <v>5.0999999999999996</v>
      </c>
      <c r="C41">
        <v>3.4</v>
      </c>
      <c r="D41">
        <v>1.5</v>
      </c>
      <c r="E41">
        <v>0.2</v>
      </c>
      <c r="F41" t="s">
        <v>6</v>
      </c>
    </row>
    <row r="42" spans="1:6" x14ac:dyDescent="0.5">
      <c r="A42">
        <v>41</v>
      </c>
      <c r="B42">
        <v>5</v>
      </c>
      <c r="C42">
        <v>3.5</v>
      </c>
      <c r="D42">
        <v>1.3</v>
      </c>
      <c r="E42">
        <v>0.3</v>
      </c>
      <c r="F42" t="s">
        <v>6</v>
      </c>
    </row>
    <row r="43" spans="1:6" x14ac:dyDescent="0.5">
      <c r="A43">
        <v>42</v>
      </c>
      <c r="B43">
        <v>4.5</v>
      </c>
      <c r="C43">
        <v>2.2999999999999998</v>
      </c>
      <c r="D43">
        <v>1.3</v>
      </c>
      <c r="E43">
        <v>0.3</v>
      </c>
      <c r="F43" t="s">
        <v>6</v>
      </c>
    </row>
    <row r="44" spans="1:6" x14ac:dyDescent="0.5">
      <c r="A44">
        <v>43</v>
      </c>
      <c r="B44">
        <v>4.4000000000000004</v>
      </c>
      <c r="C44">
        <v>3.2</v>
      </c>
      <c r="D44">
        <v>1.3</v>
      </c>
      <c r="E44">
        <v>0.2</v>
      </c>
      <c r="F44" t="s">
        <v>6</v>
      </c>
    </row>
    <row r="45" spans="1:6" x14ac:dyDescent="0.5">
      <c r="A45">
        <v>44</v>
      </c>
      <c r="B45">
        <v>5</v>
      </c>
      <c r="C45">
        <v>3.5</v>
      </c>
      <c r="D45">
        <v>1.6</v>
      </c>
      <c r="E45">
        <v>0.6</v>
      </c>
      <c r="F45" t="s">
        <v>6</v>
      </c>
    </row>
    <row r="46" spans="1:6" x14ac:dyDescent="0.5">
      <c r="A46">
        <v>45</v>
      </c>
      <c r="B46">
        <v>5.0999999999999996</v>
      </c>
      <c r="C46">
        <v>3.8</v>
      </c>
      <c r="D46">
        <v>1.9</v>
      </c>
      <c r="E46">
        <v>0.4</v>
      </c>
      <c r="F46" t="s">
        <v>6</v>
      </c>
    </row>
    <row r="47" spans="1:6" x14ac:dyDescent="0.5">
      <c r="A47">
        <v>46</v>
      </c>
      <c r="B47">
        <v>4.8</v>
      </c>
      <c r="C47">
        <v>3</v>
      </c>
      <c r="D47">
        <v>1.4</v>
      </c>
      <c r="E47">
        <v>0.3</v>
      </c>
      <c r="F47" t="s">
        <v>6</v>
      </c>
    </row>
    <row r="48" spans="1:6" x14ac:dyDescent="0.5">
      <c r="A48">
        <v>47</v>
      </c>
      <c r="B48">
        <v>5.0999999999999996</v>
      </c>
      <c r="C48">
        <v>3.8</v>
      </c>
      <c r="D48">
        <v>1.6</v>
      </c>
      <c r="E48">
        <v>0.2</v>
      </c>
      <c r="F48" t="s">
        <v>6</v>
      </c>
    </row>
    <row r="49" spans="1:6" x14ac:dyDescent="0.5">
      <c r="A49">
        <v>48</v>
      </c>
      <c r="B49">
        <v>4.5999999999999996</v>
      </c>
      <c r="C49">
        <v>3.2</v>
      </c>
      <c r="D49">
        <v>1.4</v>
      </c>
      <c r="E49">
        <v>0.2</v>
      </c>
      <c r="F49" t="s">
        <v>6</v>
      </c>
    </row>
    <row r="50" spans="1:6" x14ac:dyDescent="0.5">
      <c r="A50">
        <v>49</v>
      </c>
      <c r="B50">
        <v>5.3</v>
      </c>
      <c r="C50">
        <v>3.7</v>
      </c>
      <c r="D50">
        <v>1.5</v>
      </c>
      <c r="E50">
        <v>0.2</v>
      </c>
      <c r="F50" t="s">
        <v>6</v>
      </c>
    </row>
    <row r="51" spans="1:6" x14ac:dyDescent="0.5">
      <c r="A51">
        <v>50</v>
      </c>
      <c r="B51">
        <v>5</v>
      </c>
      <c r="C51">
        <v>3.3</v>
      </c>
      <c r="D51">
        <v>1.4</v>
      </c>
      <c r="E51">
        <v>0.2</v>
      </c>
      <c r="F51" t="s">
        <v>6</v>
      </c>
    </row>
    <row r="52" spans="1:6" x14ac:dyDescent="0.5">
      <c r="A52">
        <v>51</v>
      </c>
      <c r="B52">
        <v>7</v>
      </c>
      <c r="C52">
        <v>3.2</v>
      </c>
      <c r="D52">
        <v>4.7</v>
      </c>
      <c r="E52">
        <v>1.4</v>
      </c>
      <c r="F52" t="s">
        <v>7</v>
      </c>
    </row>
    <row r="53" spans="1:6" x14ac:dyDescent="0.5">
      <c r="A53">
        <v>52</v>
      </c>
      <c r="B53">
        <v>6.4</v>
      </c>
      <c r="C53">
        <v>3.2</v>
      </c>
      <c r="D53">
        <v>4.5</v>
      </c>
      <c r="E53">
        <v>1.5</v>
      </c>
      <c r="F53" t="s">
        <v>7</v>
      </c>
    </row>
    <row r="54" spans="1:6" x14ac:dyDescent="0.5">
      <c r="A54">
        <v>53</v>
      </c>
      <c r="B54">
        <v>6.9</v>
      </c>
      <c r="C54">
        <v>3.1</v>
      </c>
      <c r="D54">
        <v>4.9000000000000004</v>
      </c>
      <c r="E54">
        <v>1.5</v>
      </c>
      <c r="F54" t="s">
        <v>7</v>
      </c>
    </row>
    <row r="55" spans="1:6" x14ac:dyDescent="0.5">
      <c r="A55">
        <v>54</v>
      </c>
      <c r="B55">
        <v>5.5</v>
      </c>
      <c r="C55">
        <v>2.2999999999999998</v>
      </c>
      <c r="D55">
        <v>4</v>
      </c>
      <c r="E55">
        <v>1.3</v>
      </c>
      <c r="F55" t="s">
        <v>7</v>
      </c>
    </row>
    <row r="56" spans="1:6" x14ac:dyDescent="0.5">
      <c r="A56">
        <v>55</v>
      </c>
      <c r="B56">
        <v>6.5</v>
      </c>
      <c r="C56">
        <v>2.8</v>
      </c>
      <c r="D56">
        <v>4.5999999999999996</v>
      </c>
      <c r="E56">
        <v>1.5</v>
      </c>
      <c r="F56" t="s">
        <v>7</v>
      </c>
    </row>
    <row r="57" spans="1:6" x14ac:dyDescent="0.5">
      <c r="A57">
        <v>56</v>
      </c>
      <c r="B57">
        <v>5.7</v>
      </c>
      <c r="C57">
        <v>2.8</v>
      </c>
      <c r="D57">
        <v>4.5</v>
      </c>
      <c r="E57">
        <v>1.3</v>
      </c>
      <c r="F57" t="s">
        <v>7</v>
      </c>
    </row>
    <row r="58" spans="1:6" x14ac:dyDescent="0.5">
      <c r="A58">
        <v>57</v>
      </c>
      <c r="B58">
        <v>6.3</v>
      </c>
      <c r="C58">
        <v>3.3</v>
      </c>
      <c r="D58">
        <v>4.7</v>
      </c>
      <c r="E58">
        <v>1.6</v>
      </c>
      <c r="F58" t="s">
        <v>7</v>
      </c>
    </row>
    <row r="59" spans="1:6" x14ac:dyDescent="0.5">
      <c r="A59">
        <v>58</v>
      </c>
      <c r="B59">
        <v>4.9000000000000004</v>
      </c>
      <c r="C59">
        <v>2.4</v>
      </c>
      <c r="D59">
        <v>3.3</v>
      </c>
      <c r="E59">
        <v>1</v>
      </c>
      <c r="F59" t="s">
        <v>7</v>
      </c>
    </row>
    <row r="60" spans="1:6" x14ac:dyDescent="0.5">
      <c r="A60">
        <v>59</v>
      </c>
      <c r="B60">
        <v>6.6</v>
      </c>
      <c r="C60">
        <v>2.9</v>
      </c>
      <c r="D60">
        <v>4.5999999999999996</v>
      </c>
      <c r="E60">
        <v>1.3</v>
      </c>
      <c r="F60" t="s">
        <v>7</v>
      </c>
    </row>
    <row r="61" spans="1:6" x14ac:dyDescent="0.5">
      <c r="A61">
        <v>60</v>
      </c>
      <c r="B61">
        <v>5.2</v>
      </c>
      <c r="C61">
        <v>2.7</v>
      </c>
      <c r="D61">
        <v>3.9</v>
      </c>
      <c r="E61">
        <v>1.4</v>
      </c>
      <c r="F61" t="s">
        <v>7</v>
      </c>
    </row>
    <row r="62" spans="1:6" x14ac:dyDescent="0.5">
      <c r="A62">
        <v>61</v>
      </c>
      <c r="B62">
        <v>5</v>
      </c>
      <c r="C62">
        <v>2</v>
      </c>
      <c r="D62">
        <v>3.5</v>
      </c>
      <c r="E62">
        <v>1</v>
      </c>
      <c r="F62" t="s">
        <v>7</v>
      </c>
    </row>
    <row r="63" spans="1:6" x14ac:dyDescent="0.5">
      <c r="A63">
        <v>62</v>
      </c>
      <c r="B63">
        <v>5.9</v>
      </c>
      <c r="C63">
        <v>3</v>
      </c>
      <c r="D63">
        <v>4.2</v>
      </c>
      <c r="E63">
        <v>1.5</v>
      </c>
      <c r="F63" t="s">
        <v>7</v>
      </c>
    </row>
    <row r="64" spans="1:6" x14ac:dyDescent="0.5">
      <c r="A64">
        <v>63</v>
      </c>
      <c r="B64">
        <v>6</v>
      </c>
      <c r="C64">
        <v>2.2000000000000002</v>
      </c>
      <c r="D64">
        <v>4</v>
      </c>
      <c r="E64">
        <v>1</v>
      </c>
      <c r="F64" t="s">
        <v>7</v>
      </c>
    </row>
    <row r="65" spans="1:6" x14ac:dyDescent="0.5">
      <c r="A65">
        <v>64</v>
      </c>
      <c r="B65">
        <v>6.1</v>
      </c>
      <c r="C65">
        <v>2.9</v>
      </c>
      <c r="D65">
        <v>4.7</v>
      </c>
      <c r="E65">
        <v>1.4</v>
      </c>
      <c r="F65" t="s">
        <v>7</v>
      </c>
    </row>
    <row r="66" spans="1:6" x14ac:dyDescent="0.5">
      <c r="A66">
        <v>65</v>
      </c>
      <c r="B66">
        <v>5.6</v>
      </c>
      <c r="C66">
        <v>2.9</v>
      </c>
      <c r="D66">
        <v>3.6</v>
      </c>
      <c r="E66">
        <v>1.3</v>
      </c>
      <c r="F66" t="s">
        <v>7</v>
      </c>
    </row>
    <row r="67" spans="1:6" x14ac:dyDescent="0.5">
      <c r="A67">
        <v>66</v>
      </c>
      <c r="B67">
        <v>6.7</v>
      </c>
      <c r="C67">
        <v>3.1</v>
      </c>
      <c r="D67">
        <v>4.4000000000000004</v>
      </c>
      <c r="E67">
        <v>1.4</v>
      </c>
      <c r="F67" t="s">
        <v>7</v>
      </c>
    </row>
    <row r="68" spans="1:6" x14ac:dyDescent="0.5">
      <c r="A68">
        <v>67</v>
      </c>
      <c r="B68">
        <v>5.6</v>
      </c>
      <c r="C68">
        <v>3</v>
      </c>
      <c r="D68">
        <v>4.5</v>
      </c>
      <c r="E68">
        <v>1.5</v>
      </c>
      <c r="F68" t="s">
        <v>7</v>
      </c>
    </row>
    <row r="69" spans="1:6" x14ac:dyDescent="0.5">
      <c r="A69">
        <v>68</v>
      </c>
      <c r="B69">
        <v>5.8</v>
      </c>
      <c r="C69">
        <v>2.7</v>
      </c>
      <c r="D69">
        <v>4.0999999999999996</v>
      </c>
      <c r="E69">
        <v>1</v>
      </c>
      <c r="F69" t="s">
        <v>7</v>
      </c>
    </row>
    <row r="70" spans="1:6" x14ac:dyDescent="0.5">
      <c r="A70">
        <v>69</v>
      </c>
      <c r="B70">
        <v>6.2</v>
      </c>
      <c r="C70">
        <v>2.2000000000000002</v>
      </c>
      <c r="D70">
        <v>4.5</v>
      </c>
      <c r="E70">
        <v>1.5</v>
      </c>
      <c r="F70" t="s">
        <v>7</v>
      </c>
    </row>
    <row r="71" spans="1:6" x14ac:dyDescent="0.5">
      <c r="A71">
        <v>70</v>
      </c>
      <c r="B71">
        <v>5.6</v>
      </c>
      <c r="C71">
        <v>2.5</v>
      </c>
      <c r="D71">
        <v>3.9</v>
      </c>
      <c r="E71">
        <v>1.1000000000000001</v>
      </c>
      <c r="F71" t="s">
        <v>7</v>
      </c>
    </row>
    <row r="72" spans="1:6" x14ac:dyDescent="0.5">
      <c r="A72">
        <v>71</v>
      </c>
      <c r="B72">
        <v>5.9</v>
      </c>
      <c r="C72">
        <v>3.2</v>
      </c>
      <c r="D72">
        <v>4.8</v>
      </c>
      <c r="E72">
        <v>1.8</v>
      </c>
      <c r="F72" t="s">
        <v>7</v>
      </c>
    </row>
    <row r="73" spans="1:6" x14ac:dyDescent="0.5">
      <c r="A73">
        <v>72</v>
      </c>
      <c r="B73">
        <v>6.1</v>
      </c>
      <c r="C73">
        <v>2.8</v>
      </c>
      <c r="D73">
        <v>4</v>
      </c>
      <c r="E73">
        <v>1.3</v>
      </c>
      <c r="F73" t="s">
        <v>7</v>
      </c>
    </row>
    <row r="74" spans="1:6" x14ac:dyDescent="0.5">
      <c r="A74">
        <v>73</v>
      </c>
      <c r="B74">
        <v>6.3</v>
      </c>
      <c r="C74">
        <v>2.5</v>
      </c>
      <c r="D74">
        <v>4.9000000000000004</v>
      </c>
      <c r="E74">
        <v>1.5</v>
      </c>
      <c r="F74" t="s">
        <v>7</v>
      </c>
    </row>
    <row r="75" spans="1:6" x14ac:dyDescent="0.5">
      <c r="A75">
        <v>74</v>
      </c>
      <c r="B75">
        <v>6.1</v>
      </c>
      <c r="C75">
        <v>2.8</v>
      </c>
      <c r="D75">
        <v>4.7</v>
      </c>
      <c r="E75">
        <v>1.2</v>
      </c>
      <c r="F75" t="s">
        <v>7</v>
      </c>
    </row>
    <row r="76" spans="1:6" x14ac:dyDescent="0.5">
      <c r="A76">
        <v>75</v>
      </c>
      <c r="B76">
        <v>6.4</v>
      </c>
      <c r="C76">
        <v>2.9</v>
      </c>
      <c r="D76">
        <v>4.3</v>
      </c>
      <c r="E76">
        <v>1.3</v>
      </c>
      <c r="F76" t="s">
        <v>7</v>
      </c>
    </row>
    <row r="77" spans="1:6" x14ac:dyDescent="0.5">
      <c r="A77">
        <v>76</v>
      </c>
      <c r="B77">
        <v>6.6</v>
      </c>
      <c r="C77">
        <v>3</v>
      </c>
      <c r="D77">
        <v>4.4000000000000004</v>
      </c>
      <c r="E77">
        <v>1.4</v>
      </c>
      <c r="F77" t="s">
        <v>7</v>
      </c>
    </row>
    <row r="78" spans="1:6" x14ac:dyDescent="0.5">
      <c r="A78">
        <v>77</v>
      </c>
      <c r="B78">
        <v>6.8</v>
      </c>
      <c r="C78">
        <v>2.8</v>
      </c>
      <c r="D78">
        <v>4.8</v>
      </c>
      <c r="E78">
        <v>1.4</v>
      </c>
      <c r="F78" t="s">
        <v>7</v>
      </c>
    </row>
    <row r="79" spans="1:6" x14ac:dyDescent="0.5">
      <c r="A79">
        <v>78</v>
      </c>
      <c r="B79">
        <v>6.7</v>
      </c>
      <c r="C79">
        <v>3</v>
      </c>
      <c r="D79">
        <v>5</v>
      </c>
      <c r="E79">
        <v>1.7</v>
      </c>
      <c r="F79" t="s">
        <v>7</v>
      </c>
    </row>
    <row r="80" spans="1:6" x14ac:dyDescent="0.5">
      <c r="A80">
        <v>79</v>
      </c>
      <c r="B80">
        <v>6</v>
      </c>
      <c r="C80">
        <v>2.9</v>
      </c>
      <c r="D80">
        <v>4.5</v>
      </c>
      <c r="E80">
        <v>1.5</v>
      </c>
      <c r="F80" t="s">
        <v>7</v>
      </c>
    </row>
    <row r="81" spans="1:6" x14ac:dyDescent="0.5">
      <c r="A81">
        <v>80</v>
      </c>
      <c r="B81">
        <v>5.7</v>
      </c>
      <c r="C81">
        <v>2.6</v>
      </c>
      <c r="D81">
        <v>3.5</v>
      </c>
      <c r="E81">
        <v>1</v>
      </c>
      <c r="F81" t="s">
        <v>7</v>
      </c>
    </row>
    <row r="82" spans="1:6" x14ac:dyDescent="0.5">
      <c r="A82">
        <v>81</v>
      </c>
      <c r="B82">
        <v>5.5</v>
      </c>
      <c r="C82">
        <v>2.4</v>
      </c>
      <c r="D82">
        <v>3.8</v>
      </c>
      <c r="E82">
        <v>1.1000000000000001</v>
      </c>
      <c r="F82" t="s">
        <v>7</v>
      </c>
    </row>
    <row r="83" spans="1:6" x14ac:dyDescent="0.5">
      <c r="A83">
        <v>82</v>
      </c>
      <c r="B83">
        <v>5.5</v>
      </c>
      <c r="C83">
        <v>2.4</v>
      </c>
      <c r="D83">
        <v>3.7</v>
      </c>
      <c r="E83">
        <v>1</v>
      </c>
      <c r="F83" t="s">
        <v>7</v>
      </c>
    </row>
    <row r="84" spans="1:6" x14ac:dyDescent="0.5">
      <c r="A84">
        <v>83</v>
      </c>
      <c r="B84">
        <v>5.8</v>
      </c>
      <c r="C84">
        <v>2.7</v>
      </c>
      <c r="D84">
        <v>3.9</v>
      </c>
      <c r="E84">
        <v>1.2</v>
      </c>
      <c r="F84" t="s">
        <v>7</v>
      </c>
    </row>
    <row r="85" spans="1:6" x14ac:dyDescent="0.5">
      <c r="A85">
        <v>84</v>
      </c>
      <c r="B85">
        <v>6</v>
      </c>
      <c r="C85">
        <v>2.7</v>
      </c>
      <c r="D85">
        <v>5.0999999999999996</v>
      </c>
      <c r="E85">
        <v>1.6</v>
      </c>
      <c r="F85" t="s">
        <v>7</v>
      </c>
    </row>
    <row r="86" spans="1:6" x14ac:dyDescent="0.5">
      <c r="A86">
        <v>85</v>
      </c>
      <c r="B86">
        <v>5.4</v>
      </c>
      <c r="C86">
        <v>3</v>
      </c>
      <c r="D86">
        <v>4.5</v>
      </c>
      <c r="E86">
        <v>1.5</v>
      </c>
      <c r="F86" t="s">
        <v>7</v>
      </c>
    </row>
    <row r="87" spans="1:6" x14ac:dyDescent="0.5">
      <c r="A87">
        <v>86</v>
      </c>
      <c r="B87">
        <v>6</v>
      </c>
      <c r="C87">
        <v>3.4</v>
      </c>
      <c r="D87">
        <v>4.5</v>
      </c>
      <c r="E87">
        <v>1.6</v>
      </c>
      <c r="F87" t="s">
        <v>7</v>
      </c>
    </row>
    <row r="88" spans="1:6" x14ac:dyDescent="0.5">
      <c r="A88">
        <v>87</v>
      </c>
      <c r="B88">
        <v>6.7</v>
      </c>
      <c r="C88">
        <v>3.1</v>
      </c>
      <c r="D88">
        <v>4.7</v>
      </c>
      <c r="E88">
        <v>1.5</v>
      </c>
      <c r="F88" t="s">
        <v>7</v>
      </c>
    </row>
    <row r="89" spans="1:6" x14ac:dyDescent="0.5">
      <c r="A89">
        <v>88</v>
      </c>
      <c r="B89">
        <v>6.3</v>
      </c>
      <c r="C89">
        <v>2.2999999999999998</v>
      </c>
      <c r="D89">
        <v>4.4000000000000004</v>
      </c>
      <c r="E89">
        <v>1.3</v>
      </c>
      <c r="F89" t="s">
        <v>7</v>
      </c>
    </row>
    <row r="90" spans="1:6" x14ac:dyDescent="0.5">
      <c r="A90">
        <v>89</v>
      </c>
      <c r="B90">
        <v>5.6</v>
      </c>
      <c r="C90">
        <v>3</v>
      </c>
      <c r="D90">
        <v>4.0999999999999996</v>
      </c>
      <c r="E90">
        <v>1.3</v>
      </c>
      <c r="F90" t="s">
        <v>7</v>
      </c>
    </row>
    <row r="91" spans="1:6" x14ac:dyDescent="0.5">
      <c r="A91">
        <v>90</v>
      </c>
      <c r="B91">
        <v>5.5</v>
      </c>
      <c r="C91">
        <v>2.5</v>
      </c>
      <c r="D91">
        <v>4</v>
      </c>
      <c r="E91">
        <v>1.3</v>
      </c>
      <c r="F91" t="s">
        <v>7</v>
      </c>
    </row>
    <row r="92" spans="1:6" x14ac:dyDescent="0.5">
      <c r="A92">
        <v>91</v>
      </c>
      <c r="B92">
        <v>5.5</v>
      </c>
      <c r="C92">
        <v>2.6</v>
      </c>
      <c r="D92">
        <v>4.4000000000000004</v>
      </c>
      <c r="E92">
        <v>1.2</v>
      </c>
      <c r="F92" t="s">
        <v>7</v>
      </c>
    </row>
    <row r="93" spans="1:6" x14ac:dyDescent="0.5">
      <c r="A93">
        <v>92</v>
      </c>
      <c r="B93">
        <v>6.1</v>
      </c>
      <c r="C93">
        <v>3</v>
      </c>
      <c r="D93">
        <v>4.5999999999999996</v>
      </c>
      <c r="E93">
        <v>1.4</v>
      </c>
      <c r="F93" t="s">
        <v>7</v>
      </c>
    </row>
    <row r="94" spans="1:6" x14ac:dyDescent="0.5">
      <c r="A94">
        <v>93</v>
      </c>
      <c r="B94">
        <v>5.8</v>
      </c>
      <c r="C94">
        <v>2.6</v>
      </c>
      <c r="D94">
        <v>4</v>
      </c>
      <c r="E94">
        <v>1.2</v>
      </c>
      <c r="F94" t="s">
        <v>7</v>
      </c>
    </row>
    <row r="95" spans="1:6" x14ac:dyDescent="0.5">
      <c r="A95">
        <v>94</v>
      </c>
      <c r="B95">
        <v>5</v>
      </c>
      <c r="C95">
        <v>2.2999999999999998</v>
      </c>
      <c r="D95">
        <v>3.3</v>
      </c>
      <c r="E95">
        <v>1</v>
      </c>
      <c r="F95" t="s">
        <v>7</v>
      </c>
    </row>
    <row r="96" spans="1:6" x14ac:dyDescent="0.5">
      <c r="A96">
        <v>95</v>
      </c>
      <c r="B96">
        <v>5.6</v>
      </c>
      <c r="C96">
        <v>2.7</v>
      </c>
      <c r="D96">
        <v>4.2</v>
      </c>
      <c r="E96">
        <v>1.3</v>
      </c>
      <c r="F96" t="s">
        <v>7</v>
      </c>
    </row>
    <row r="97" spans="1:6" x14ac:dyDescent="0.5">
      <c r="A97">
        <v>96</v>
      </c>
      <c r="B97">
        <v>5.7</v>
      </c>
      <c r="C97">
        <v>3</v>
      </c>
      <c r="D97">
        <v>4.2</v>
      </c>
      <c r="E97">
        <v>1.2</v>
      </c>
      <c r="F97" t="s">
        <v>7</v>
      </c>
    </row>
    <row r="98" spans="1:6" x14ac:dyDescent="0.5">
      <c r="A98">
        <v>97</v>
      </c>
      <c r="B98">
        <v>5.7</v>
      </c>
      <c r="C98">
        <v>2.9</v>
      </c>
      <c r="D98">
        <v>4.2</v>
      </c>
      <c r="E98">
        <v>1.3</v>
      </c>
      <c r="F98" t="s">
        <v>7</v>
      </c>
    </row>
    <row r="99" spans="1:6" x14ac:dyDescent="0.5">
      <c r="A99">
        <v>98</v>
      </c>
      <c r="B99">
        <v>6.2</v>
      </c>
      <c r="C99">
        <v>2.9</v>
      </c>
      <c r="D99">
        <v>4.3</v>
      </c>
      <c r="E99">
        <v>1.3</v>
      </c>
      <c r="F99" t="s">
        <v>7</v>
      </c>
    </row>
    <row r="100" spans="1:6" x14ac:dyDescent="0.5">
      <c r="A100">
        <v>99</v>
      </c>
      <c r="B100">
        <v>5.0999999999999996</v>
      </c>
      <c r="C100">
        <v>2.5</v>
      </c>
      <c r="D100">
        <v>3</v>
      </c>
      <c r="E100">
        <v>1.1000000000000001</v>
      </c>
      <c r="F100" t="s">
        <v>7</v>
      </c>
    </row>
    <row r="101" spans="1:6" x14ac:dyDescent="0.5">
      <c r="A101">
        <v>100</v>
      </c>
      <c r="B101">
        <v>5.7</v>
      </c>
      <c r="C101">
        <v>2.8</v>
      </c>
      <c r="D101">
        <v>4.0999999999999996</v>
      </c>
      <c r="E101">
        <v>1.3</v>
      </c>
      <c r="F101" t="s">
        <v>7</v>
      </c>
    </row>
    <row r="102" spans="1:6" x14ac:dyDescent="0.5">
      <c r="A102">
        <v>101</v>
      </c>
      <c r="B102">
        <v>6.3</v>
      </c>
      <c r="C102">
        <v>3.3</v>
      </c>
      <c r="D102">
        <v>6</v>
      </c>
      <c r="E102">
        <v>2.5</v>
      </c>
      <c r="F102" t="s">
        <v>8</v>
      </c>
    </row>
    <row r="103" spans="1:6" x14ac:dyDescent="0.5">
      <c r="A103">
        <v>102</v>
      </c>
      <c r="B103">
        <v>5.8</v>
      </c>
      <c r="C103">
        <v>2.7</v>
      </c>
      <c r="D103">
        <v>5.0999999999999996</v>
      </c>
      <c r="E103">
        <v>1.9</v>
      </c>
      <c r="F103" t="s">
        <v>8</v>
      </c>
    </row>
    <row r="104" spans="1:6" x14ac:dyDescent="0.5">
      <c r="A104">
        <v>103</v>
      </c>
      <c r="B104">
        <v>7.1</v>
      </c>
      <c r="C104">
        <v>3</v>
      </c>
      <c r="D104">
        <v>5.9</v>
      </c>
      <c r="E104">
        <v>2.1</v>
      </c>
      <c r="F104" t="s">
        <v>8</v>
      </c>
    </row>
    <row r="105" spans="1:6" x14ac:dyDescent="0.5">
      <c r="A105">
        <v>104</v>
      </c>
      <c r="B105">
        <v>6.3</v>
      </c>
      <c r="C105">
        <v>2.9</v>
      </c>
      <c r="D105">
        <v>5.6</v>
      </c>
      <c r="E105">
        <v>1.8</v>
      </c>
      <c r="F105" t="s">
        <v>8</v>
      </c>
    </row>
    <row r="106" spans="1:6" x14ac:dyDescent="0.5">
      <c r="A106">
        <v>105</v>
      </c>
      <c r="B106">
        <v>6.5</v>
      </c>
      <c r="C106">
        <v>3</v>
      </c>
      <c r="D106">
        <v>5.8</v>
      </c>
      <c r="E106">
        <v>2.2000000000000002</v>
      </c>
      <c r="F106" t="s">
        <v>8</v>
      </c>
    </row>
    <row r="107" spans="1:6" x14ac:dyDescent="0.5">
      <c r="A107">
        <v>106</v>
      </c>
      <c r="B107">
        <v>7.6</v>
      </c>
      <c r="C107">
        <v>3</v>
      </c>
      <c r="D107">
        <v>6.6</v>
      </c>
      <c r="E107">
        <v>2.1</v>
      </c>
      <c r="F107" t="s">
        <v>8</v>
      </c>
    </row>
    <row r="108" spans="1:6" x14ac:dyDescent="0.5">
      <c r="A108">
        <v>107</v>
      </c>
      <c r="B108">
        <v>4.9000000000000004</v>
      </c>
      <c r="C108">
        <v>2.5</v>
      </c>
      <c r="D108">
        <v>4.5</v>
      </c>
      <c r="E108">
        <v>1.7</v>
      </c>
      <c r="F108" t="s">
        <v>8</v>
      </c>
    </row>
    <row r="109" spans="1:6" x14ac:dyDescent="0.5">
      <c r="A109">
        <v>108</v>
      </c>
      <c r="B109">
        <v>7.3</v>
      </c>
      <c r="C109">
        <v>2.9</v>
      </c>
      <c r="D109">
        <v>6.3</v>
      </c>
      <c r="E109">
        <v>1.8</v>
      </c>
      <c r="F109" t="s">
        <v>8</v>
      </c>
    </row>
    <row r="110" spans="1:6" x14ac:dyDescent="0.5">
      <c r="A110">
        <v>109</v>
      </c>
      <c r="B110">
        <v>6.7</v>
      </c>
      <c r="C110">
        <v>2.5</v>
      </c>
      <c r="D110">
        <v>5.8</v>
      </c>
      <c r="E110">
        <v>1.8</v>
      </c>
      <c r="F110" t="s">
        <v>8</v>
      </c>
    </row>
    <row r="111" spans="1:6" x14ac:dyDescent="0.5">
      <c r="A111">
        <v>110</v>
      </c>
      <c r="B111">
        <v>7.2</v>
      </c>
      <c r="C111">
        <v>3.6</v>
      </c>
      <c r="D111">
        <v>6.1</v>
      </c>
      <c r="E111">
        <v>2.5</v>
      </c>
      <c r="F111" t="s">
        <v>8</v>
      </c>
    </row>
    <row r="112" spans="1:6" x14ac:dyDescent="0.5">
      <c r="A112">
        <v>111</v>
      </c>
      <c r="B112">
        <v>6.5</v>
      </c>
      <c r="C112">
        <v>3.2</v>
      </c>
      <c r="D112">
        <v>5.0999999999999996</v>
      </c>
      <c r="E112">
        <v>2</v>
      </c>
      <c r="F112" t="s">
        <v>8</v>
      </c>
    </row>
    <row r="113" spans="1:6" x14ac:dyDescent="0.5">
      <c r="A113">
        <v>112</v>
      </c>
      <c r="B113">
        <v>6.4</v>
      </c>
      <c r="C113">
        <v>2.7</v>
      </c>
      <c r="D113">
        <v>5.3</v>
      </c>
      <c r="E113">
        <v>1.9</v>
      </c>
      <c r="F113" t="s">
        <v>8</v>
      </c>
    </row>
    <row r="114" spans="1:6" x14ac:dyDescent="0.5">
      <c r="A114">
        <v>113</v>
      </c>
      <c r="B114">
        <v>6.8</v>
      </c>
      <c r="C114">
        <v>3</v>
      </c>
      <c r="D114">
        <v>5.5</v>
      </c>
      <c r="E114">
        <v>2.1</v>
      </c>
      <c r="F114" t="s">
        <v>8</v>
      </c>
    </row>
    <row r="115" spans="1:6" x14ac:dyDescent="0.5">
      <c r="A115">
        <v>114</v>
      </c>
      <c r="B115">
        <v>5.7</v>
      </c>
      <c r="C115">
        <v>2.5</v>
      </c>
      <c r="D115">
        <v>5</v>
      </c>
      <c r="E115">
        <v>2</v>
      </c>
      <c r="F115" t="s">
        <v>8</v>
      </c>
    </row>
    <row r="116" spans="1:6" x14ac:dyDescent="0.5">
      <c r="A116">
        <v>115</v>
      </c>
      <c r="B116">
        <v>5.8</v>
      </c>
      <c r="C116">
        <v>2.8</v>
      </c>
      <c r="D116">
        <v>5.0999999999999996</v>
      </c>
      <c r="E116">
        <v>2.4</v>
      </c>
      <c r="F116" t="s">
        <v>8</v>
      </c>
    </row>
    <row r="117" spans="1:6" x14ac:dyDescent="0.5">
      <c r="A117">
        <v>116</v>
      </c>
      <c r="B117">
        <v>6.4</v>
      </c>
      <c r="C117">
        <v>3.2</v>
      </c>
      <c r="D117">
        <v>5.3</v>
      </c>
      <c r="E117">
        <v>2.2999999999999998</v>
      </c>
      <c r="F117" t="s">
        <v>8</v>
      </c>
    </row>
    <row r="118" spans="1:6" x14ac:dyDescent="0.5">
      <c r="A118">
        <v>117</v>
      </c>
      <c r="B118">
        <v>6.5</v>
      </c>
      <c r="C118">
        <v>3</v>
      </c>
      <c r="D118">
        <v>5.5</v>
      </c>
      <c r="E118">
        <v>1.8</v>
      </c>
      <c r="F118" t="s">
        <v>8</v>
      </c>
    </row>
    <row r="119" spans="1:6" x14ac:dyDescent="0.5">
      <c r="A119">
        <v>118</v>
      </c>
      <c r="B119">
        <v>7.7</v>
      </c>
      <c r="C119">
        <v>3.8</v>
      </c>
      <c r="D119">
        <v>6.7</v>
      </c>
      <c r="E119">
        <v>2.2000000000000002</v>
      </c>
      <c r="F119" t="s">
        <v>8</v>
      </c>
    </row>
    <row r="120" spans="1:6" x14ac:dyDescent="0.5">
      <c r="A120">
        <v>119</v>
      </c>
      <c r="B120">
        <v>7.7</v>
      </c>
      <c r="C120">
        <v>2.6</v>
      </c>
      <c r="D120">
        <v>6.9</v>
      </c>
      <c r="E120">
        <v>2.2999999999999998</v>
      </c>
      <c r="F120" t="s">
        <v>8</v>
      </c>
    </row>
    <row r="121" spans="1:6" x14ac:dyDescent="0.5">
      <c r="A121">
        <v>120</v>
      </c>
      <c r="B121">
        <v>6</v>
      </c>
      <c r="C121">
        <v>2.2000000000000002</v>
      </c>
      <c r="D121">
        <v>5</v>
      </c>
      <c r="E121">
        <v>1.5</v>
      </c>
      <c r="F121" t="s">
        <v>8</v>
      </c>
    </row>
    <row r="122" spans="1:6" x14ac:dyDescent="0.5">
      <c r="A122">
        <v>121</v>
      </c>
      <c r="B122">
        <v>6.9</v>
      </c>
      <c r="C122">
        <v>3.2</v>
      </c>
      <c r="D122">
        <v>5.7</v>
      </c>
      <c r="E122">
        <v>2.2999999999999998</v>
      </c>
      <c r="F122" t="s">
        <v>8</v>
      </c>
    </row>
    <row r="123" spans="1:6" x14ac:dyDescent="0.5">
      <c r="A123">
        <v>122</v>
      </c>
      <c r="B123">
        <v>5.6</v>
      </c>
      <c r="C123">
        <v>2.8</v>
      </c>
      <c r="D123">
        <v>4.9000000000000004</v>
      </c>
      <c r="E123">
        <v>2</v>
      </c>
      <c r="F123" t="s">
        <v>8</v>
      </c>
    </row>
    <row r="124" spans="1:6" x14ac:dyDescent="0.5">
      <c r="A124">
        <v>123</v>
      </c>
      <c r="B124">
        <v>7.7</v>
      </c>
      <c r="C124">
        <v>2.8</v>
      </c>
      <c r="D124">
        <v>6.7</v>
      </c>
      <c r="E124">
        <v>2</v>
      </c>
      <c r="F124" t="s">
        <v>8</v>
      </c>
    </row>
    <row r="125" spans="1:6" x14ac:dyDescent="0.5">
      <c r="A125">
        <v>124</v>
      </c>
      <c r="B125">
        <v>6.3</v>
      </c>
      <c r="C125">
        <v>2.7</v>
      </c>
      <c r="D125">
        <v>4.9000000000000004</v>
      </c>
      <c r="E125">
        <v>1.8</v>
      </c>
      <c r="F125" t="s">
        <v>8</v>
      </c>
    </row>
    <row r="126" spans="1:6" x14ac:dyDescent="0.5">
      <c r="A126">
        <v>125</v>
      </c>
      <c r="B126">
        <v>6.7</v>
      </c>
      <c r="C126">
        <v>3.3</v>
      </c>
      <c r="D126">
        <v>5.7</v>
      </c>
      <c r="E126">
        <v>2.1</v>
      </c>
      <c r="F126" t="s">
        <v>8</v>
      </c>
    </row>
    <row r="127" spans="1:6" x14ac:dyDescent="0.5">
      <c r="A127">
        <v>126</v>
      </c>
      <c r="B127">
        <v>7.2</v>
      </c>
      <c r="C127">
        <v>3.2</v>
      </c>
      <c r="D127">
        <v>6</v>
      </c>
      <c r="E127">
        <v>1.8</v>
      </c>
      <c r="F127" t="s">
        <v>8</v>
      </c>
    </row>
    <row r="128" spans="1:6" x14ac:dyDescent="0.5">
      <c r="A128">
        <v>127</v>
      </c>
      <c r="B128">
        <v>6.2</v>
      </c>
      <c r="C128">
        <v>2.8</v>
      </c>
      <c r="D128">
        <v>4.8</v>
      </c>
      <c r="E128">
        <v>1.8</v>
      </c>
      <c r="F128" t="s">
        <v>8</v>
      </c>
    </row>
    <row r="129" spans="1:6" x14ac:dyDescent="0.5">
      <c r="A129">
        <v>128</v>
      </c>
      <c r="B129">
        <v>6.1</v>
      </c>
      <c r="C129">
        <v>3</v>
      </c>
      <c r="D129">
        <v>4.9000000000000004</v>
      </c>
      <c r="E129">
        <v>1.8</v>
      </c>
      <c r="F129" t="s">
        <v>8</v>
      </c>
    </row>
    <row r="130" spans="1:6" x14ac:dyDescent="0.5">
      <c r="A130">
        <v>129</v>
      </c>
      <c r="B130">
        <v>6.4</v>
      </c>
      <c r="C130">
        <v>2.8</v>
      </c>
      <c r="D130">
        <v>5.6</v>
      </c>
      <c r="E130">
        <v>2.1</v>
      </c>
      <c r="F130" t="s">
        <v>8</v>
      </c>
    </row>
    <row r="131" spans="1:6" x14ac:dyDescent="0.5">
      <c r="A131">
        <v>130</v>
      </c>
      <c r="B131">
        <v>7.2</v>
      </c>
      <c r="C131">
        <v>3</v>
      </c>
      <c r="D131">
        <v>5.8</v>
      </c>
      <c r="E131">
        <v>1.6</v>
      </c>
      <c r="F131" t="s">
        <v>8</v>
      </c>
    </row>
    <row r="132" spans="1:6" x14ac:dyDescent="0.5">
      <c r="A132">
        <v>131</v>
      </c>
      <c r="B132">
        <v>7.4</v>
      </c>
      <c r="C132">
        <v>2.8</v>
      </c>
      <c r="D132">
        <v>6.1</v>
      </c>
      <c r="E132">
        <v>1.9</v>
      </c>
      <c r="F132" t="s">
        <v>8</v>
      </c>
    </row>
    <row r="133" spans="1:6" x14ac:dyDescent="0.5">
      <c r="A133">
        <v>132</v>
      </c>
      <c r="B133">
        <v>7.9</v>
      </c>
      <c r="C133">
        <v>3.8</v>
      </c>
      <c r="D133">
        <v>6.4</v>
      </c>
      <c r="E133">
        <v>2</v>
      </c>
      <c r="F133" t="s">
        <v>8</v>
      </c>
    </row>
    <row r="134" spans="1:6" x14ac:dyDescent="0.5">
      <c r="A134">
        <v>133</v>
      </c>
      <c r="B134">
        <v>6.4</v>
      </c>
      <c r="C134">
        <v>2.8</v>
      </c>
      <c r="D134">
        <v>5.6</v>
      </c>
      <c r="E134">
        <v>2.2000000000000002</v>
      </c>
      <c r="F134" t="s">
        <v>8</v>
      </c>
    </row>
    <row r="135" spans="1:6" x14ac:dyDescent="0.5">
      <c r="A135">
        <v>134</v>
      </c>
      <c r="B135">
        <v>6.3</v>
      </c>
      <c r="C135">
        <v>2.8</v>
      </c>
      <c r="D135">
        <v>5.0999999999999996</v>
      </c>
      <c r="E135">
        <v>1.5</v>
      </c>
      <c r="F135" t="s">
        <v>8</v>
      </c>
    </row>
    <row r="136" spans="1:6" x14ac:dyDescent="0.5">
      <c r="A136">
        <v>135</v>
      </c>
      <c r="B136">
        <v>6.1</v>
      </c>
      <c r="C136">
        <v>2.6</v>
      </c>
      <c r="D136">
        <v>5.6</v>
      </c>
      <c r="E136">
        <v>1.4</v>
      </c>
      <c r="F136" t="s">
        <v>8</v>
      </c>
    </row>
    <row r="137" spans="1:6" x14ac:dyDescent="0.5">
      <c r="A137">
        <v>136</v>
      </c>
      <c r="B137">
        <v>7.7</v>
      </c>
      <c r="C137">
        <v>3</v>
      </c>
      <c r="D137">
        <v>6.1</v>
      </c>
      <c r="E137">
        <v>2.2999999999999998</v>
      </c>
      <c r="F137" t="s">
        <v>8</v>
      </c>
    </row>
    <row r="138" spans="1:6" x14ac:dyDescent="0.5">
      <c r="A138">
        <v>137</v>
      </c>
      <c r="B138">
        <v>6.3</v>
      </c>
      <c r="C138">
        <v>3.4</v>
      </c>
      <c r="D138">
        <v>5.6</v>
      </c>
      <c r="E138">
        <v>2.4</v>
      </c>
      <c r="F138" t="s">
        <v>8</v>
      </c>
    </row>
    <row r="139" spans="1:6" x14ac:dyDescent="0.5">
      <c r="A139">
        <v>138</v>
      </c>
      <c r="B139">
        <v>6.4</v>
      </c>
      <c r="C139">
        <v>3.1</v>
      </c>
      <c r="D139">
        <v>5.5</v>
      </c>
      <c r="E139">
        <v>1.8</v>
      </c>
      <c r="F139" t="s">
        <v>8</v>
      </c>
    </row>
    <row r="140" spans="1:6" x14ac:dyDescent="0.5">
      <c r="A140">
        <v>139</v>
      </c>
      <c r="B140">
        <v>6</v>
      </c>
      <c r="C140">
        <v>3</v>
      </c>
      <c r="D140">
        <v>4.8</v>
      </c>
      <c r="E140">
        <v>1.8</v>
      </c>
      <c r="F140" t="s">
        <v>8</v>
      </c>
    </row>
    <row r="141" spans="1:6" x14ac:dyDescent="0.5">
      <c r="A141">
        <v>140</v>
      </c>
      <c r="B141">
        <v>6.9</v>
      </c>
      <c r="C141">
        <v>3.1</v>
      </c>
      <c r="D141">
        <v>5.4</v>
      </c>
      <c r="E141">
        <v>2.1</v>
      </c>
      <c r="F141" t="s">
        <v>8</v>
      </c>
    </row>
    <row r="142" spans="1:6" x14ac:dyDescent="0.5">
      <c r="A142">
        <v>141</v>
      </c>
      <c r="B142">
        <v>6.7</v>
      </c>
      <c r="C142">
        <v>3.1</v>
      </c>
      <c r="D142">
        <v>5.6</v>
      </c>
      <c r="E142">
        <v>2.4</v>
      </c>
      <c r="F142" t="s">
        <v>8</v>
      </c>
    </row>
    <row r="143" spans="1:6" x14ac:dyDescent="0.5">
      <c r="A143">
        <v>142</v>
      </c>
      <c r="B143">
        <v>6.9</v>
      </c>
      <c r="C143">
        <v>3.1</v>
      </c>
      <c r="D143">
        <v>5.0999999999999996</v>
      </c>
      <c r="E143">
        <v>2.2999999999999998</v>
      </c>
      <c r="F143" t="s">
        <v>8</v>
      </c>
    </row>
    <row r="144" spans="1:6" x14ac:dyDescent="0.5">
      <c r="A144">
        <v>143</v>
      </c>
      <c r="B144">
        <v>5.8</v>
      </c>
      <c r="C144">
        <v>2.7</v>
      </c>
      <c r="D144">
        <v>5.0999999999999996</v>
      </c>
      <c r="E144">
        <v>1.9</v>
      </c>
      <c r="F144" t="s">
        <v>8</v>
      </c>
    </row>
    <row r="145" spans="1:6" x14ac:dyDescent="0.5">
      <c r="A145">
        <v>144</v>
      </c>
      <c r="B145">
        <v>6.8</v>
      </c>
      <c r="C145">
        <v>3.2</v>
      </c>
      <c r="D145">
        <v>5.9</v>
      </c>
      <c r="E145">
        <v>2.2999999999999998</v>
      </c>
      <c r="F145" t="s">
        <v>8</v>
      </c>
    </row>
    <row r="146" spans="1:6" x14ac:dyDescent="0.5">
      <c r="A146">
        <v>145</v>
      </c>
      <c r="B146">
        <v>6.7</v>
      </c>
      <c r="C146">
        <v>3.3</v>
      </c>
      <c r="D146">
        <v>5.7</v>
      </c>
      <c r="E146">
        <v>2.5</v>
      </c>
      <c r="F146" t="s">
        <v>8</v>
      </c>
    </row>
    <row r="147" spans="1:6" x14ac:dyDescent="0.5">
      <c r="A147">
        <v>146</v>
      </c>
      <c r="B147">
        <v>6.7</v>
      </c>
      <c r="C147">
        <v>3</v>
      </c>
      <c r="D147">
        <v>5.2</v>
      </c>
      <c r="E147">
        <v>2.2999999999999998</v>
      </c>
      <c r="F147" t="s">
        <v>8</v>
      </c>
    </row>
    <row r="148" spans="1:6" x14ac:dyDescent="0.5">
      <c r="A148">
        <v>147</v>
      </c>
      <c r="B148">
        <v>6.3</v>
      </c>
      <c r="C148">
        <v>2.5</v>
      </c>
      <c r="D148">
        <v>5</v>
      </c>
      <c r="E148">
        <v>1.9</v>
      </c>
      <c r="F148" t="s">
        <v>8</v>
      </c>
    </row>
    <row r="149" spans="1:6" x14ac:dyDescent="0.5">
      <c r="A149">
        <v>148</v>
      </c>
      <c r="B149">
        <v>6.5</v>
      </c>
      <c r="C149">
        <v>3</v>
      </c>
      <c r="D149">
        <v>5.2</v>
      </c>
      <c r="E149">
        <v>2</v>
      </c>
      <c r="F149" t="s">
        <v>8</v>
      </c>
    </row>
    <row r="150" spans="1:6" x14ac:dyDescent="0.5">
      <c r="A150">
        <v>149</v>
      </c>
      <c r="B150">
        <v>6.2</v>
      </c>
      <c r="C150">
        <v>3.4</v>
      </c>
      <c r="D150">
        <v>5.4</v>
      </c>
      <c r="E150">
        <v>2.2999999999999998</v>
      </c>
      <c r="F150" t="s">
        <v>8</v>
      </c>
    </row>
    <row r="151" spans="1:6" x14ac:dyDescent="0.5">
      <c r="A151">
        <v>150</v>
      </c>
      <c r="B151">
        <v>5.9</v>
      </c>
      <c r="C151">
        <v>3</v>
      </c>
      <c r="D151">
        <v>5.0999999999999996</v>
      </c>
      <c r="E151">
        <v>1.8</v>
      </c>
      <c r="F151" t="s">
        <v>8</v>
      </c>
    </row>
  </sheetData>
  <mergeCells count="4">
    <mergeCell ref="O12:S12"/>
    <mergeCell ref="O21:S21"/>
    <mergeCell ref="U12:Y12"/>
    <mergeCell ref="U21:Y21"/>
  </mergeCells>
  <pageMargins left="0.7" right="0.7" top="0.75" bottom="0.75" header="0.3" footer="0.3"/>
  <pageSetup orientation="portrait" r:id="rId6"/>
  <drawing r:id="rId7"/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A93A6-99D6-49B0-A131-AA1F0C5A1C8E}">
  <dimension ref="A1:J151"/>
  <sheetViews>
    <sheetView workbookViewId="0">
      <selection activeCell="G120" sqref="G120"/>
    </sheetView>
  </sheetViews>
  <sheetFormatPr defaultRowHeight="14.35" x14ac:dyDescent="0.5"/>
  <cols>
    <col min="2" max="2" width="15.76171875" bestFit="1" customWidth="1"/>
    <col min="3" max="3" width="11.3515625" bestFit="1" customWidth="1"/>
  </cols>
  <sheetData>
    <row r="1" spans="1:4" x14ac:dyDescent="0.5">
      <c r="A1" t="s">
        <v>0</v>
      </c>
      <c r="B1" t="s">
        <v>1</v>
      </c>
      <c r="C1" t="s">
        <v>5</v>
      </c>
      <c r="D1" t="s">
        <v>28</v>
      </c>
    </row>
    <row r="2" spans="1:4" hidden="1" x14ac:dyDescent="0.5">
      <c r="A2">
        <v>1</v>
      </c>
      <c r="B2">
        <v>5.0999999999999996</v>
      </c>
      <c r="C2" t="s">
        <v>6</v>
      </c>
      <c r="D2" t="str">
        <f t="shared" ref="D2:D33" si="0">IF(B2&lt;$J$107, "Odstająca", IF(B2&gt;$J$108, "Odstająca", "Nie"))</f>
        <v>Nie</v>
      </c>
    </row>
    <row r="3" spans="1:4" hidden="1" x14ac:dyDescent="0.5">
      <c r="A3">
        <v>2</v>
      </c>
      <c r="B3">
        <v>4.9000000000000004</v>
      </c>
      <c r="C3" t="s">
        <v>6</v>
      </c>
      <c r="D3" t="str">
        <f t="shared" si="0"/>
        <v>Odstająca</v>
      </c>
    </row>
    <row r="4" spans="1:4" hidden="1" x14ac:dyDescent="0.5">
      <c r="A4">
        <v>3</v>
      </c>
      <c r="B4">
        <v>4.7</v>
      </c>
      <c r="C4" t="s">
        <v>6</v>
      </c>
      <c r="D4" t="str">
        <f t="shared" si="0"/>
        <v>Odstająca</v>
      </c>
    </row>
    <row r="5" spans="1:4" hidden="1" x14ac:dyDescent="0.5">
      <c r="A5">
        <v>4</v>
      </c>
      <c r="B5">
        <v>4.5999999999999996</v>
      </c>
      <c r="C5" t="s">
        <v>6</v>
      </c>
      <c r="D5" t="str">
        <f t="shared" si="0"/>
        <v>Odstająca</v>
      </c>
    </row>
    <row r="6" spans="1:4" hidden="1" x14ac:dyDescent="0.5">
      <c r="A6">
        <v>5</v>
      </c>
      <c r="B6">
        <v>5</v>
      </c>
      <c r="C6" t="s">
        <v>6</v>
      </c>
      <c r="D6" t="str">
        <f t="shared" si="0"/>
        <v>Odstająca</v>
      </c>
    </row>
    <row r="7" spans="1:4" hidden="1" x14ac:dyDescent="0.5">
      <c r="A7">
        <v>6</v>
      </c>
      <c r="B7">
        <v>5.4</v>
      </c>
      <c r="C7" t="s">
        <v>6</v>
      </c>
      <c r="D7" t="str">
        <f t="shared" si="0"/>
        <v>Nie</v>
      </c>
    </row>
    <row r="8" spans="1:4" hidden="1" x14ac:dyDescent="0.5">
      <c r="A8">
        <v>7</v>
      </c>
      <c r="B8">
        <v>4.5999999999999996</v>
      </c>
      <c r="C8" t="s">
        <v>6</v>
      </c>
      <c r="D8" t="str">
        <f t="shared" si="0"/>
        <v>Odstająca</v>
      </c>
    </row>
    <row r="9" spans="1:4" hidden="1" x14ac:dyDescent="0.5">
      <c r="A9">
        <v>8</v>
      </c>
      <c r="B9">
        <v>5</v>
      </c>
      <c r="C9" t="s">
        <v>6</v>
      </c>
      <c r="D9" t="str">
        <f t="shared" si="0"/>
        <v>Odstająca</v>
      </c>
    </row>
    <row r="10" spans="1:4" hidden="1" x14ac:dyDescent="0.5">
      <c r="A10">
        <v>9</v>
      </c>
      <c r="B10">
        <v>4.4000000000000004</v>
      </c>
      <c r="C10" t="s">
        <v>6</v>
      </c>
      <c r="D10" t="str">
        <f t="shared" si="0"/>
        <v>Odstająca</v>
      </c>
    </row>
    <row r="11" spans="1:4" hidden="1" x14ac:dyDescent="0.5">
      <c r="A11">
        <v>10</v>
      </c>
      <c r="B11">
        <v>4.9000000000000004</v>
      </c>
      <c r="C11" t="s">
        <v>6</v>
      </c>
      <c r="D11" t="str">
        <f t="shared" si="0"/>
        <v>Odstająca</v>
      </c>
    </row>
    <row r="12" spans="1:4" hidden="1" x14ac:dyDescent="0.5">
      <c r="A12">
        <v>11</v>
      </c>
      <c r="B12">
        <v>5.4</v>
      </c>
      <c r="C12" t="s">
        <v>6</v>
      </c>
      <c r="D12" t="str">
        <f t="shared" si="0"/>
        <v>Nie</v>
      </c>
    </row>
    <row r="13" spans="1:4" hidden="1" x14ac:dyDescent="0.5">
      <c r="A13">
        <v>12</v>
      </c>
      <c r="B13">
        <v>4.8</v>
      </c>
      <c r="C13" t="s">
        <v>6</v>
      </c>
      <c r="D13" t="str">
        <f t="shared" si="0"/>
        <v>Odstająca</v>
      </c>
    </row>
    <row r="14" spans="1:4" hidden="1" x14ac:dyDescent="0.5">
      <c r="A14">
        <v>13</v>
      </c>
      <c r="B14">
        <v>4.8</v>
      </c>
      <c r="C14" t="s">
        <v>6</v>
      </c>
      <c r="D14" t="str">
        <f t="shared" si="0"/>
        <v>Odstająca</v>
      </c>
    </row>
    <row r="15" spans="1:4" hidden="1" x14ac:dyDescent="0.5">
      <c r="A15">
        <v>14</v>
      </c>
      <c r="B15">
        <v>4.3</v>
      </c>
      <c r="C15" t="s">
        <v>6</v>
      </c>
      <c r="D15" t="str">
        <f t="shared" si="0"/>
        <v>Odstająca</v>
      </c>
    </row>
    <row r="16" spans="1:4" hidden="1" x14ac:dyDescent="0.5">
      <c r="A16">
        <v>15</v>
      </c>
      <c r="B16">
        <v>5.8</v>
      </c>
      <c r="C16" t="s">
        <v>6</v>
      </c>
      <c r="D16" t="str">
        <f t="shared" si="0"/>
        <v>Nie</v>
      </c>
    </row>
    <row r="17" spans="1:4" hidden="1" x14ac:dyDescent="0.5">
      <c r="A17">
        <v>16</v>
      </c>
      <c r="B17">
        <v>5.7</v>
      </c>
      <c r="C17" t="s">
        <v>6</v>
      </c>
      <c r="D17" t="str">
        <f t="shared" si="0"/>
        <v>Nie</v>
      </c>
    </row>
    <row r="18" spans="1:4" hidden="1" x14ac:dyDescent="0.5">
      <c r="A18">
        <v>17</v>
      </c>
      <c r="B18">
        <v>5.4</v>
      </c>
      <c r="C18" t="s">
        <v>6</v>
      </c>
      <c r="D18" t="str">
        <f t="shared" si="0"/>
        <v>Nie</v>
      </c>
    </row>
    <row r="19" spans="1:4" hidden="1" x14ac:dyDescent="0.5">
      <c r="A19">
        <v>18</v>
      </c>
      <c r="B19">
        <v>5.0999999999999996</v>
      </c>
      <c r="C19" t="s">
        <v>6</v>
      </c>
      <c r="D19" t="str">
        <f t="shared" si="0"/>
        <v>Nie</v>
      </c>
    </row>
    <row r="20" spans="1:4" hidden="1" x14ac:dyDescent="0.5">
      <c r="A20">
        <v>19</v>
      </c>
      <c r="B20">
        <v>5.7</v>
      </c>
      <c r="C20" t="s">
        <v>6</v>
      </c>
      <c r="D20" t="str">
        <f t="shared" si="0"/>
        <v>Nie</v>
      </c>
    </row>
    <row r="21" spans="1:4" hidden="1" x14ac:dyDescent="0.5">
      <c r="A21">
        <v>20</v>
      </c>
      <c r="B21">
        <v>5.0999999999999996</v>
      </c>
      <c r="C21" t="s">
        <v>6</v>
      </c>
      <c r="D21" t="str">
        <f t="shared" si="0"/>
        <v>Nie</v>
      </c>
    </row>
    <row r="22" spans="1:4" hidden="1" x14ac:dyDescent="0.5">
      <c r="A22">
        <v>21</v>
      </c>
      <c r="B22">
        <v>5.4</v>
      </c>
      <c r="C22" t="s">
        <v>6</v>
      </c>
      <c r="D22" t="str">
        <f t="shared" si="0"/>
        <v>Nie</v>
      </c>
    </row>
    <row r="23" spans="1:4" hidden="1" x14ac:dyDescent="0.5">
      <c r="A23">
        <v>22</v>
      </c>
      <c r="B23">
        <v>5.0999999999999996</v>
      </c>
      <c r="C23" t="s">
        <v>6</v>
      </c>
      <c r="D23" t="str">
        <f t="shared" si="0"/>
        <v>Nie</v>
      </c>
    </row>
    <row r="24" spans="1:4" hidden="1" x14ac:dyDescent="0.5">
      <c r="A24">
        <v>23</v>
      </c>
      <c r="B24">
        <v>4.5999999999999996</v>
      </c>
      <c r="C24" t="s">
        <v>6</v>
      </c>
      <c r="D24" t="str">
        <f t="shared" si="0"/>
        <v>Odstająca</v>
      </c>
    </row>
    <row r="25" spans="1:4" hidden="1" x14ac:dyDescent="0.5">
      <c r="A25">
        <v>24</v>
      </c>
      <c r="B25">
        <v>5.0999999999999996</v>
      </c>
      <c r="C25" t="s">
        <v>6</v>
      </c>
      <c r="D25" t="str">
        <f t="shared" si="0"/>
        <v>Nie</v>
      </c>
    </row>
    <row r="26" spans="1:4" hidden="1" x14ac:dyDescent="0.5">
      <c r="A26">
        <v>25</v>
      </c>
      <c r="B26">
        <v>4.8</v>
      </c>
      <c r="C26" t="s">
        <v>6</v>
      </c>
      <c r="D26" t="str">
        <f t="shared" si="0"/>
        <v>Odstająca</v>
      </c>
    </row>
    <row r="27" spans="1:4" hidden="1" x14ac:dyDescent="0.5">
      <c r="A27">
        <v>26</v>
      </c>
      <c r="B27">
        <v>5</v>
      </c>
      <c r="C27" t="s">
        <v>6</v>
      </c>
      <c r="D27" t="str">
        <f t="shared" si="0"/>
        <v>Odstająca</v>
      </c>
    </row>
    <row r="28" spans="1:4" hidden="1" x14ac:dyDescent="0.5">
      <c r="A28">
        <v>27</v>
      </c>
      <c r="B28">
        <v>5</v>
      </c>
      <c r="C28" t="s">
        <v>6</v>
      </c>
      <c r="D28" t="str">
        <f t="shared" si="0"/>
        <v>Odstająca</v>
      </c>
    </row>
    <row r="29" spans="1:4" hidden="1" x14ac:dyDescent="0.5">
      <c r="A29">
        <v>28</v>
      </c>
      <c r="B29">
        <v>5.2</v>
      </c>
      <c r="C29" t="s">
        <v>6</v>
      </c>
      <c r="D29" t="str">
        <f t="shared" si="0"/>
        <v>Nie</v>
      </c>
    </row>
    <row r="30" spans="1:4" hidden="1" x14ac:dyDescent="0.5">
      <c r="A30">
        <v>29</v>
      </c>
      <c r="B30">
        <v>5.2</v>
      </c>
      <c r="C30" t="s">
        <v>6</v>
      </c>
      <c r="D30" t="str">
        <f t="shared" si="0"/>
        <v>Nie</v>
      </c>
    </row>
    <row r="31" spans="1:4" hidden="1" x14ac:dyDescent="0.5">
      <c r="A31">
        <v>30</v>
      </c>
      <c r="B31">
        <v>4.7</v>
      </c>
      <c r="C31" t="s">
        <v>6</v>
      </c>
      <c r="D31" t="str">
        <f t="shared" si="0"/>
        <v>Odstająca</v>
      </c>
    </row>
    <row r="32" spans="1:4" hidden="1" x14ac:dyDescent="0.5">
      <c r="A32">
        <v>31</v>
      </c>
      <c r="B32">
        <v>4.8</v>
      </c>
      <c r="C32" t="s">
        <v>6</v>
      </c>
      <c r="D32" t="str">
        <f t="shared" si="0"/>
        <v>Odstająca</v>
      </c>
    </row>
    <row r="33" spans="1:4" hidden="1" x14ac:dyDescent="0.5">
      <c r="A33">
        <v>32</v>
      </c>
      <c r="B33">
        <v>5.4</v>
      </c>
      <c r="C33" t="s">
        <v>6</v>
      </c>
      <c r="D33" t="str">
        <f t="shared" si="0"/>
        <v>Nie</v>
      </c>
    </row>
    <row r="34" spans="1:4" hidden="1" x14ac:dyDescent="0.5">
      <c r="A34">
        <v>33</v>
      </c>
      <c r="B34">
        <v>5.2</v>
      </c>
      <c r="C34" t="s">
        <v>6</v>
      </c>
      <c r="D34" t="str">
        <f t="shared" ref="D34:D65" si="1">IF(B34&lt;$J$107, "Odstająca", IF(B34&gt;$J$108, "Odstająca", "Nie"))</f>
        <v>Nie</v>
      </c>
    </row>
    <row r="35" spans="1:4" hidden="1" x14ac:dyDescent="0.5">
      <c r="A35">
        <v>34</v>
      </c>
      <c r="B35">
        <v>5.5</v>
      </c>
      <c r="C35" t="s">
        <v>6</v>
      </c>
      <c r="D35" t="str">
        <f t="shared" si="1"/>
        <v>Nie</v>
      </c>
    </row>
    <row r="36" spans="1:4" hidden="1" x14ac:dyDescent="0.5">
      <c r="A36">
        <v>35</v>
      </c>
      <c r="B36">
        <v>4.9000000000000004</v>
      </c>
      <c r="C36" t="s">
        <v>6</v>
      </c>
      <c r="D36" t="str">
        <f t="shared" si="1"/>
        <v>Odstająca</v>
      </c>
    </row>
    <row r="37" spans="1:4" hidden="1" x14ac:dyDescent="0.5">
      <c r="A37">
        <v>36</v>
      </c>
      <c r="B37">
        <v>5</v>
      </c>
      <c r="C37" t="s">
        <v>6</v>
      </c>
      <c r="D37" t="str">
        <f t="shared" si="1"/>
        <v>Odstająca</v>
      </c>
    </row>
    <row r="38" spans="1:4" hidden="1" x14ac:dyDescent="0.5">
      <c r="A38">
        <v>37</v>
      </c>
      <c r="B38">
        <v>5.5</v>
      </c>
      <c r="C38" t="s">
        <v>6</v>
      </c>
      <c r="D38" t="str">
        <f t="shared" si="1"/>
        <v>Nie</v>
      </c>
    </row>
    <row r="39" spans="1:4" hidden="1" x14ac:dyDescent="0.5">
      <c r="A39">
        <v>38</v>
      </c>
      <c r="B39">
        <v>4.9000000000000004</v>
      </c>
      <c r="C39" t="s">
        <v>6</v>
      </c>
      <c r="D39" t="str">
        <f t="shared" si="1"/>
        <v>Odstająca</v>
      </c>
    </row>
    <row r="40" spans="1:4" hidden="1" x14ac:dyDescent="0.5">
      <c r="A40">
        <v>39</v>
      </c>
      <c r="B40">
        <v>4.4000000000000004</v>
      </c>
      <c r="C40" t="s">
        <v>6</v>
      </c>
      <c r="D40" t="str">
        <f t="shared" si="1"/>
        <v>Odstająca</v>
      </c>
    </row>
    <row r="41" spans="1:4" hidden="1" x14ac:dyDescent="0.5">
      <c r="A41">
        <v>40</v>
      </c>
      <c r="B41">
        <v>5.0999999999999996</v>
      </c>
      <c r="C41" t="s">
        <v>6</v>
      </c>
      <c r="D41" t="str">
        <f t="shared" si="1"/>
        <v>Nie</v>
      </c>
    </row>
    <row r="42" spans="1:4" hidden="1" x14ac:dyDescent="0.5">
      <c r="A42">
        <v>41</v>
      </c>
      <c r="B42">
        <v>5</v>
      </c>
      <c r="C42" t="s">
        <v>6</v>
      </c>
      <c r="D42" t="str">
        <f t="shared" si="1"/>
        <v>Odstająca</v>
      </c>
    </row>
    <row r="43" spans="1:4" hidden="1" x14ac:dyDescent="0.5">
      <c r="A43">
        <v>42</v>
      </c>
      <c r="B43">
        <v>4.5</v>
      </c>
      <c r="C43" t="s">
        <v>6</v>
      </c>
      <c r="D43" t="str">
        <f t="shared" si="1"/>
        <v>Odstająca</v>
      </c>
    </row>
    <row r="44" spans="1:4" hidden="1" x14ac:dyDescent="0.5">
      <c r="A44">
        <v>43</v>
      </c>
      <c r="B44">
        <v>4.4000000000000004</v>
      </c>
      <c r="C44" t="s">
        <v>6</v>
      </c>
      <c r="D44" t="str">
        <f t="shared" si="1"/>
        <v>Odstająca</v>
      </c>
    </row>
    <row r="45" spans="1:4" hidden="1" x14ac:dyDescent="0.5">
      <c r="A45">
        <v>44</v>
      </c>
      <c r="B45">
        <v>5</v>
      </c>
      <c r="C45" t="s">
        <v>6</v>
      </c>
      <c r="D45" t="str">
        <f t="shared" si="1"/>
        <v>Odstająca</v>
      </c>
    </row>
    <row r="46" spans="1:4" hidden="1" x14ac:dyDescent="0.5">
      <c r="A46">
        <v>45</v>
      </c>
      <c r="B46">
        <v>5.0999999999999996</v>
      </c>
      <c r="C46" t="s">
        <v>6</v>
      </c>
      <c r="D46" t="str">
        <f t="shared" si="1"/>
        <v>Nie</v>
      </c>
    </row>
    <row r="47" spans="1:4" hidden="1" x14ac:dyDescent="0.5">
      <c r="A47">
        <v>46</v>
      </c>
      <c r="B47">
        <v>4.8</v>
      </c>
      <c r="C47" t="s">
        <v>6</v>
      </c>
      <c r="D47" t="str">
        <f t="shared" si="1"/>
        <v>Odstająca</v>
      </c>
    </row>
    <row r="48" spans="1:4" hidden="1" x14ac:dyDescent="0.5">
      <c r="A48">
        <v>47</v>
      </c>
      <c r="B48">
        <v>5.0999999999999996</v>
      </c>
      <c r="C48" t="s">
        <v>6</v>
      </c>
      <c r="D48" t="str">
        <f t="shared" si="1"/>
        <v>Nie</v>
      </c>
    </row>
    <row r="49" spans="1:4" hidden="1" x14ac:dyDescent="0.5">
      <c r="A49">
        <v>48</v>
      </c>
      <c r="B49">
        <v>4.5999999999999996</v>
      </c>
      <c r="C49" t="s">
        <v>6</v>
      </c>
      <c r="D49" t="str">
        <f t="shared" si="1"/>
        <v>Odstająca</v>
      </c>
    </row>
    <row r="50" spans="1:4" hidden="1" x14ac:dyDescent="0.5">
      <c r="A50">
        <v>49</v>
      </c>
      <c r="B50">
        <v>5.3</v>
      </c>
      <c r="C50" t="s">
        <v>6</v>
      </c>
      <c r="D50" t="str">
        <f t="shared" si="1"/>
        <v>Nie</v>
      </c>
    </row>
    <row r="51" spans="1:4" hidden="1" x14ac:dyDescent="0.5">
      <c r="A51">
        <v>50</v>
      </c>
      <c r="B51">
        <v>5</v>
      </c>
      <c r="C51" t="s">
        <v>6</v>
      </c>
      <c r="D51" t="str">
        <f t="shared" si="1"/>
        <v>Odstająca</v>
      </c>
    </row>
    <row r="52" spans="1:4" hidden="1" x14ac:dyDescent="0.5">
      <c r="A52">
        <v>51</v>
      </c>
      <c r="B52">
        <v>7</v>
      </c>
      <c r="C52" t="s">
        <v>7</v>
      </c>
      <c r="D52" t="str">
        <f t="shared" si="1"/>
        <v>Nie</v>
      </c>
    </row>
    <row r="53" spans="1:4" hidden="1" x14ac:dyDescent="0.5">
      <c r="A53">
        <v>52</v>
      </c>
      <c r="B53">
        <v>6.4</v>
      </c>
      <c r="C53" t="s">
        <v>7</v>
      </c>
      <c r="D53" t="str">
        <f t="shared" si="1"/>
        <v>Nie</v>
      </c>
    </row>
    <row r="54" spans="1:4" hidden="1" x14ac:dyDescent="0.5">
      <c r="A54">
        <v>53</v>
      </c>
      <c r="B54">
        <v>6.9</v>
      </c>
      <c r="C54" t="s">
        <v>7</v>
      </c>
      <c r="D54" t="str">
        <f t="shared" si="1"/>
        <v>Nie</v>
      </c>
    </row>
    <row r="55" spans="1:4" hidden="1" x14ac:dyDescent="0.5">
      <c r="A55">
        <v>54</v>
      </c>
      <c r="B55">
        <v>5.5</v>
      </c>
      <c r="C55" t="s">
        <v>7</v>
      </c>
      <c r="D55" t="str">
        <f t="shared" si="1"/>
        <v>Nie</v>
      </c>
    </row>
    <row r="56" spans="1:4" hidden="1" x14ac:dyDescent="0.5">
      <c r="A56">
        <v>55</v>
      </c>
      <c r="B56">
        <v>6.5</v>
      </c>
      <c r="C56" t="s">
        <v>7</v>
      </c>
      <c r="D56" t="str">
        <f t="shared" si="1"/>
        <v>Nie</v>
      </c>
    </row>
    <row r="57" spans="1:4" hidden="1" x14ac:dyDescent="0.5">
      <c r="A57">
        <v>56</v>
      </c>
      <c r="B57">
        <v>5.7</v>
      </c>
      <c r="C57" t="s">
        <v>7</v>
      </c>
      <c r="D57" t="str">
        <f t="shared" si="1"/>
        <v>Nie</v>
      </c>
    </row>
    <row r="58" spans="1:4" hidden="1" x14ac:dyDescent="0.5">
      <c r="A58">
        <v>57</v>
      </c>
      <c r="B58">
        <v>6.3</v>
      </c>
      <c r="C58" t="s">
        <v>7</v>
      </c>
      <c r="D58" t="str">
        <f t="shared" si="1"/>
        <v>Nie</v>
      </c>
    </row>
    <row r="59" spans="1:4" hidden="1" x14ac:dyDescent="0.5">
      <c r="A59">
        <v>58</v>
      </c>
      <c r="B59">
        <v>4.9000000000000004</v>
      </c>
      <c r="C59" t="s">
        <v>7</v>
      </c>
      <c r="D59" t="str">
        <f t="shared" si="1"/>
        <v>Odstająca</v>
      </c>
    </row>
    <row r="60" spans="1:4" hidden="1" x14ac:dyDescent="0.5">
      <c r="A60">
        <v>59</v>
      </c>
      <c r="B60">
        <v>6.6</v>
      </c>
      <c r="C60" t="s">
        <v>7</v>
      </c>
      <c r="D60" t="str">
        <f t="shared" si="1"/>
        <v>Nie</v>
      </c>
    </row>
    <row r="61" spans="1:4" hidden="1" x14ac:dyDescent="0.5">
      <c r="A61">
        <v>60</v>
      </c>
      <c r="B61">
        <v>5.2</v>
      </c>
      <c r="C61" t="s">
        <v>7</v>
      </c>
      <c r="D61" t="str">
        <f t="shared" si="1"/>
        <v>Nie</v>
      </c>
    </row>
    <row r="62" spans="1:4" hidden="1" x14ac:dyDescent="0.5">
      <c r="A62">
        <v>61</v>
      </c>
      <c r="B62">
        <v>5</v>
      </c>
      <c r="C62" t="s">
        <v>7</v>
      </c>
      <c r="D62" t="str">
        <f t="shared" si="1"/>
        <v>Odstająca</v>
      </c>
    </row>
    <row r="63" spans="1:4" hidden="1" x14ac:dyDescent="0.5">
      <c r="A63">
        <v>62</v>
      </c>
      <c r="B63">
        <v>5.9</v>
      </c>
      <c r="C63" t="s">
        <v>7</v>
      </c>
      <c r="D63" t="str">
        <f t="shared" si="1"/>
        <v>Nie</v>
      </c>
    </row>
    <row r="64" spans="1:4" hidden="1" x14ac:dyDescent="0.5">
      <c r="A64">
        <v>63</v>
      </c>
      <c r="B64">
        <v>6</v>
      </c>
      <c r="C64" t="s">
        <v>7</v>
      </c>
      <c r="D64" t="str">
        <f t="shared" si="1"/>
        <v>Nie</v>
      </c>
    </row>
    <row r="65" spans="1:4" hidden="1" x14ac:dyDescent="0.5">
      <c r="A65">
        <v>64</v>
      </c>
      <c r="B65">
        <v>6.1</v>
      </c>
      <c r="C65" t="s">
        <v>7</v>
      </c>
      <c r="D65" t="str">
        <f t="shared" si="1"/>
        <v>Nie</v>
      </c>
    </row>
    <row r="66" spans="1:4" hidden="1" x14ac:dyDescent="0.5">
      <c r="A66">
        <v>65</v>
      </c>
      <c r="B66">
        <v>5.6</v>
      </c>
      <c r="C66" t="s">
        <v>7</v>
      </c>
      <c r="D66" t="str">
        <f t="shared" ref="D66:D97" si="2">IF(B66&lt;$J$107, "Odstająca", IF(B66&gt;$J$108, "Odstająca", "Nie"))</f>
        <v>Nie</v>
      </c>
    </row>
    <row r="67" spans="1:4" hidden="1" x14ac:dyDescent="0.5">
      <c r="A67">
        <v>66</v>
      </c>
      <c r="B67">
        <v>6.7</v>
      </c>
      <c r="C67" t="s">
        <v>7</v>
      </c>
      <c r="D67" t="str">
        <f t="shared" si="2"/>
        <v>Nie</v>
      </c>
    </row>
    <row r="68" spans="1:4" hidden="1" x14ac:dyDescent="0.5">
      <c r="A68">
        <v>67</v>
      </c>
      <c r="B68">
        <v>5.6</v>
      </c>
      <c r="C68" t="s">
        <v>7</v>
      </c>
      <c r="D68" t="str">
        <f t="shared" si="2"/>
        <v>Nie</v>
      </c>
    </row>
    <row r="69" spans="1:4" hidden="1" x14ac:dyDescent="0.5">
      <c r="A69">
        <v>68</v>
      </c>
      <c r="B69">
        <v>5.8</v>
      </c>
      <c r="C69" t="s">
        <v>7</v>
      </c>
      <c r="D69" t="str">
        <f t="shared" si="2"/>
        <v>Nie</v>
      </c>
    </row>
    <row r="70" spans="1:4" hidden="1" x14ac:dyDescent="0.5">
      <c r="A70">
        <v>69</v>
      </c>
      <c r="B70">
        <v>6.2</v>
      </c>
      <c r="C70" t="s">
        <v>7</v>
      </c>
      <c r="D70" t="str">
        <f t="shared" si="2"/>
        <v>Nie</v>
      </c>
    </row>
    <row r="71" spans="1:4" hidden="1" x14ac:dyDescent="0.5">
      <c r="A71">
        <v>70</v>
      </c>
      <c r="B71">
        <v>5.6</v>
      </c>
      <c r="C71" t="s">
        <v>7</v>
      </c>
      <c r="D71" t="str">
        <f t="shared" si="2"/>
        <v>Nie</v>
      </c>
    </row>
    <row r="72" spans="1:4" hidden="1" x14ac:dyDescent="0.5">
      <c r="A72">
        <v>71</v>
      </c>
      <c r="B72">
        <v>5.9</v>
      </c>
      <c r="C72" t="s">
        <v>7</v>
      </c>
      <c r="D72" t="str">
        <f t="shared" si="2"/>
        <v>Nie</v>
      </c>
    </row>
    <row r="73" spans="1:4" hidden="1" x14ac:dyDescent="0.5">
      <c r="A73">
        <v>72</v>
      </c>
      <c r="B73">
        <v>6.1</v>
      </c>
      <c r="C73" t="s">
        <v>7</v>
      </c>
      <c r="D73" t="str">
        <f t="shared" si="2"/>
        <v>Nie</v>
      </c>
    </row>
    <row r="74" spans="1:4" hidden="1" x14ac:dyDescent="0.5">
      <c r="A74">
        <v>73</v>
      </c>
      <c r="B74">
        <v>6.3</v>
      </c>
      <c r="C74" t="s">
        <v>7</v>
      </c>
      <c r="D74" t="str">
        <f t="shared" si="2"/>
        <v>Nie</v>
      </c>
    </row>
    <row r="75" spans="1:4" hidden="1" x14ac:dyDescent="0.5">
      <c r="A75">
        <v>74</v>
      </c>
      <c r="B75">
        <v>6.1</v>
      </c>
      <c r="C75" t="s">
        <v>7</v>
      </c>
      <c r="D75" t="str">
        <f t="shared" si="2"/>
        <v>Nie</v>
      </c>
    </row>
    <row r="76" spans="1:4" hidden="1" x14ac:dyDescent="0.5">
      <c r="A76">
        <v>75</v>
      </c>
      <c r="B76">
        <v>6.4</v>
      </c>
      <c r="C76" t="s">
        <v>7</v>
      </c>
      <c r="D76" t="str">
        <f t="shared" si="2"/>
        <v>Nie</v>
      </c>
    </row>
    <row r="77" spans="1:4" hidden="1" x14ac:dyDescent="0.5">
      <c r="A77">
        <v>76</v>
      </c>
      <c r="B77">
        <v>6.6</v>
      </c>
      <c r="C77" t="s">
        <v>7</v>
      </c>
      <c r="D77" t="str">
        <f t="shared" si="2"/>
        <v>Nie</v>
      </c>
    </row>
    <row r="78" spans="1:4" hidden="1" x14ac:dyDescent="0.5">
      <c r="A78">
        <v>77</v>
      </c>
      <c r="B78">
        <v>6.8</v>
      </c>
      <c r="C78" t="s">
        <v>7</v>
      </c>
      <c r="D78" t="str">
        <f t="shared" si="2"/>
        <v>Nie</v>
      </c>
    </row>
    <row r="79" spans="1:4" hidden="1" x14ac:dyDescent="0.5">
      <c r="A79">
        <v>78</v>
      </c>
      <c r="B79">
        <v>6.7</v>
      </c>
      <c r="C79" t="s">
        <v>7</v>
      </c>
      <c r="D79" t="str">
        <f t="shared" si="2"/>
        <v>Nie</v>
      </c>
    </row>
    <row r="80" spans="1:4" hidden="1" x14ac:dyDescent="0.5">
      <c r="A80">
        <v>79</v>
      </c>
      <c r="B80">
        <v>6</v>
      </c>
      <c r="C80" t="s">
        <v>7</v>
      </c>
      <c r="D80" t="str">
        <f t="shared" si="2"/>
        <v>Nie</v>
      </c>
    </row>
    <row r="81" spans="1:4" hidden="1" x14ac:dyDescent="0.5">
      <c r="A81">
        <v>80</v>
      </c>
      <c r="B81">
        <v>5.7</v>
      </c>
      <c r="C81" t="s">
        <v>7</v>
      </c>
      <c r="D81" t="str">
        <f t="shared" si="2"/>
        <v>Nie</v>
      </c>
    </row>
    <row r="82" spans="1:4" hidden="1" x14ac:dyDescent="0.5">
      <c r="A82">
        <v>81</v>
      </c>
      <c r="B82">
        <v>5.5</v>
      </c>
      <c r="C82" t="s">
        <v>7</v>
      </c>
      <c r="D82" t="str">
        <f t="shared" si="2"/>
        <v>Nie</v>
      </c>
    </row>
    <row r="83" spans="1:4" hidden="1" x14ac:dyDescent="0.5">
      <c r="A83">
        <v>82</v>
      </c>
      <c r="B83">
        <v>5.5</v>
      </c>
      <c r="C83" t="s">
        <v>7</v>
      </c>
      <c r="D83" t="str">
        <f t="shared" si="2"/>
        <v>Nie</v>
      </c>
    </row>
    <row r="84" spans="1:4" hidden="1" x14ac:dyDescent="0.5">
      <c r="A84">
        <v>83</v>
      </c>
      <c r="B84">
        <v>5.8</v>
      </c>
      <c r="C84" t="s">
        <v>7</v>
      </c>
      <c r="D84" t="str">
        <f t="shared" si="2"/>
        <v>Nie</v>
      </c>
    </row>
    <row r="85" spans="1:4" hidden="1" x14ac:dyDescent="0.5">
      <c r="A85">
        <v>84</v>
      </c>
      <c r="B85">
        <v>6</v>
      </c>
      <c r="C85" t="s">
        <v>7</v>
      </c>
      <c r="D85" t="str">
        <f t="shared" si="2"/>
        <v>Nie</v>
      </c>
    </row>
    <row r="86" spans="1:4" hidden="1" x14ac:dyDescent="0.5">
      <c r="A86">
        <v>85</v>
      </c>
      <c r="B86">
        <v>5.4</v>
      </c>
      <c r="C86" t="s">
        <v>7</v>
      </c>
      <c r="D86" t="str">
        <f t="shared" si="2"/>
        <v>Nie</v>
      </c>
    </row>
    <row r="87" spans="1:4" hidden="1" x14ac:dyDescent="0.5">
      <c r="A87">
        <v>86</v>
      </c>
      <c r="B87">
        <v>6</v>
      </c>
      <c r="C87" t="s">
        <v>7</v>
      </c>
      <c r="D87" t="str">
        <f t="shared" si="2"/>
        <v>Nie</v>
      </c>
    </row>
    <row r="88" spans="1:4" hidden="1" x14ac:dyDescent="0.5">
      <c r="A88">
        <v>87</v>
      </c>
      <c r="B88">
        <v>6.7</v>
      </c>
      <c r="C88" t="s">
        <v>7</v>
      </c>
      <c r="D88" t="str">
        <f t="shared" si="2"/>
        <v>Nie</v>
      </c>
    </row>
    <row r="89" spans="1:4" hidden="1" x14ac:dyDescent="0.5">
      <c r="A89">
        <v>88</v>
      </c>
      <c r="B89">
        <v>6.3</v>
      </c>
      <c r="C89" t="s">
        <v>7</v>
      </c>
      <c r="D89" t="str">
        <f t="shared" si="2"/>
        <v>Nie</v>
      </c>
    </row>
    <row r="90" spans="1:4" hidden="1" x14ac:dyDescent="0.5">
      <c r="A90">
        <v>89</v>
      </c>
      <c r="B90">
        <v>5.6</v>
      </c>
      <c r="C90" t="s">
        <v>7</v>
      </c>
      <c r="D90" t="str">
        <f t="shared" si="2"/>
        <v>Nie</v>
      </c>
    </row>
    <row r="91" spans="1:4" hidden="1" x14ac:dyDescent="0.5">
      <c r="A91">
        <v>90</v>
      </c>
      <c r="B91">
        <v>5.5</v>
      </c>
      <c r="C91" t="s">
        <v>7</v>
      </c>
      <c r="D91" t="str">
        <f t="shared" si="2"/>
        <v>Nie</v>
      </c>
    </row>
    <row r="92" spans="1:4" hidden="1" x14ac:dyDescent="0.5">
      <c r="A92">
        <v>91</v>
      </c>
      <c r="B92">
        <v>5.5</v>
      </c>
      <c r="C92" t="s">
        <v>7</v>
      </c>
      <c r="D92" t="str">
        <f t="shared" si="2"/>
        <v>Nie</v>
      </c>
    </row>
    <row r="93" spans="1:4" hidden="1" x14ac:dyDescent="0.5">
      <c r="A93">
        <v>92</v>
      </c>
      <c r="B93">
        <v>6.1</v>
      </c>
      <c r="C93" t="s">
        <v>7</v>
      </c>
      <c r="D93" t="str">
        <f t="shared" si="2"/>
        <v>Nie</v>
      </c>
    </row>
    <row r="94" spans="1:4" hidden="1" x14ac:dyDescent="0.5">
      <c r="A94">
        <v>93</v>
      </c>
      <c r="B94">
        <v>5.8</v>
      </c>
      <c r="C94" t="s">
        <v>7</v>
      </c>
      <c r="D94" t="str">
        <f t="shared" si="2"/>
        <v>Nie</v>
      </c>
    </row>
    <row r="95" spans="1:4" hidden="1" x14ac:dyDescent="0.5">
      <c r="A95">
        <v>94</v>
      </c>
      <c r="B95">
        <v>5</v>
      </c>
      <c r="C95" t="s">
        <v>7</v>
      </c>
      <c r="D95" t="str">
        <f t="shared" si="2"/>
        <v>Odstająca</v>
      </c>
    </row>
    <row r="96" spans="1:4" hidden="1" x14ac:dyDescent="0.5">
      <c r="A96">
        <v>95</v>
      </c>
      <c r="B96">
        <v>5.6</v>
      </c>
      <c r="C96" t="s">
        <v>7</v>
      </c>
      <c r="D96" t="str">
        <f t="shared" si="2"/>
        <v>Nie</v>
      </c>
    </row>
    <row r="97" spans="1:10" hidden="1" x14ac:dyDescent="0.5">
      <c r="A97">
        <v>96</v>
      </c>
      <c r="B97">
        <v>5.7</v>
      </c>
      <c r="C97" t="s">
        <v>7</v>
      </c>
      <c r="D97" t="str">
        <f t="shared" si="2"/>
        <v>Nie</v>
      </c>
    </row>
    <row r="98" spans="1:10" hidden="1" x14ac:dyDescent="0.5">
      <c r="A98">
        <v>97</v>
      </c>
      <c r="B98">
        <v>5.7</v>
      </c>
      <c r="C98" t="s">
        <v>7</v>
      </c>
      <c r="D98" t="str">
        <f t="shared" ref="D98:D129" si="3">IF(B98&lt;$J$107, "Odstająca", IF(B98&gt;$J$108, "Odstająca", "Nie"))</f>
        <v>Nie</v>
      </c>
    </row>
    <row r="99" spans="1:10" hidden="1" x14ac:dyDescent="0.5">
      <c r="A99">
        <v>98</v>
      </c>
      <c r="B99">
        <v>6.2</v>
      </c>
      <c r="C99" t="s">
        <v>7</v>
      </c>
      <c r="D99" t="str">
        <f t="shared" si="3"/>
        <v>Nie</v>
      </c>
    </row>
    <row r="100" spans="1:10" hidden="1" x14ac:dyDescent="0.5">
      <c r="A100">
        <v>99</v>
      </c>
      <c r="B100">
        <v>5.0999999999999996</v>
      </c>
      <c r="C100" t="s">
        <v>7</v>
      </c>
      <c r="D100" t="str">
        <f t="shared" si="3"/>
        <v>Nie</v>
      </c>
    </row>
    <row r="101" spans="1:10" hidden="1" x14ac:dyDescent="0.5">
      <c r="A101">
        <v>100</v>
      </c>
      <c r="B101">
        <v>5.7</v>
      </c>
      <c r="C101" t="s">
        <v>7</v>
      </c>
      <c r="D101" t="str">
        <f t="shared" si="3"/>
        <v>Nie</v>
      </c>
    </row>
    <row r="102" spans="1:10" x14ac:dyDescent="0.5">
      <c r="A102">
        <v>101</v>
      </c>
      <c r="B102">
        <v>6.3</v>
      </c>
      <c r="C102" t="s">
        <v>8</v>
      </c>
      <c r="D102" t="str">
        <f t="shared" si="3"/>
        <v>Nie</v>
      </c>
      <c r="I102" t="s">
        <v>22</v>
      </c>
      <c r="J102">
        <f>_xlfn.QUARTILE.EXC(B102:B151,1)</f>
        <v>6.2</v>
      </c>
    </row>
    <row r="103" spans="1:10" x14ac:dyDescent="0.5">
      <c r="A103">
        <v>102</v>
      </c>
      <c r="B103">
        <v>5.8</v>
      </c>
      <c r="C103" t="s">
        <v>8</v>
      </c>
      <c r="D103" t="str">
        <f t="shared" si="3"/>
        <v>Nie</v>
      </c>
      <c r="I103" t="s">
        <v>23</v>
      </c>
      <c r="J103">
        <f>_xlfn.QUARTILE.EXC(B102:B151,3)</f>
        <v>6.95</v>
      </c>
    </row>
    <row r="104" spans="1:10" x14ac:dyDescent="0.5">
      <c r="A104">
        <v>103</v>
      </c>
      <c r="B104">
        <v>7.1</v>
      </c>
      <c r="C104" t="s">
        <v>8</v>
      </c>
      <c r="D104" t="str">
        <f t="shared" si="3"/>
        <v>Nie</v>
      </c>
      <c r="I104" t="s">
        <v>24</v>
      </c>
      <c r="J104">
        <f>J103-J102</f>
        <v>0.75</v>
      </c>
    </row>
    <row r="105" spans="1:10" x14ac:dyDescent="0.5">
      <c r="A105">
        <v>104</v>
      </c>
      <c r="B105">
        <v>6.3</v>
      </c>
      <c r="C105" t="s">
        <v>8</v>
      </c>
      <c r="D105" t="str">
        <f t="shared" si="3"/>
        <v>Nie</v>
      </c>
    </row>
    <row r="106" spans="1:10" x14ac:dyDescent="0.5">
      <c r="A106">
        <v>105</v>
      </c>
      <c r="B106">
        <v>6.5</v>
      </c>
      <c r="C106" t="s">
        <v>8</v>
      </c>
      <c r="D106" t="str">
        <f t="shared" si="3"/>
        <v>Nie</v>
      </c>
      <c r="I106" t="s">
        <v>25</v>
      </c>
    </row>
    <row r="107" spans="1:10" x14ac:dyDescent="0.5">
      <c r="A107">
        <v>106</v>
      </c>
      <c r="B107">
        <v>7.6</v>
      </c>
      <c r="C107" t="s">
        <v>8</v>
      </c>
      <c r="D107" t="str">
        <f t="shared" si="3"/>
        <v>Nie</v>
      </c>
      <c r="I107" t="s">
        <v>26</v>
      </c>
      <c r="J107">
        <f>J102-1.5*J104</f>
        <v>5.0750000000000002</v>
      </c>
    </row>
    <row r="108" spans="1:10" x14ac:dyDescent="0.5">
      <c r="A108">
        <v>107</v>
      </c>
      <c r="B108">
        <v>4.9000000000000004</v>
      </c>
      <c r="C108" t="s">
        <v>8</v>
      </c>
      <c r="D108" t="str">
        <f t="shared" si="3"/>
        <v>Odstająca</v>
      </c>
      <c r="I108" t="s">
        <v>27</v>
      </c>
      <c r="J108">
        <f>J103+1.5*J104</f>
        <v>8.0749999999999993</v>
      </c>
    </row>
    <row r="109" spans="1:10" x14ac:dyDescent="0.5">
      <c r="A109">
        <v>108</v>
      </c>
      <c r="B109">
        <v>7.3</v>
      </c>
      <c r="C109" t="s">
        <v>8</v>
      </c>
      <c r="D109" t="str">
        <f t="shared" si="3"/>
        <v>Nie</v>
      </c>
    </row>
    <row r="110" spans="1:10" x14ac:dyDescent="0.5">
      <c r="A110">
        <v>109</v>
      </c>
      <c r="B110">
        <v>6.7</v>
      </c>
      <c r="C110" t="s">
        <v>8</v>
      </c>
      <c r="D110" t="str">
        <f t="shared" si="3"/>
        <v>Nie</v>
      </c>
    </row>
    <row r="111" spans="1:10" x14ac:dyDescent="0.5">
      <c r="A111">
        <v>110</v>
      </c>
      <c r="B111">
        <v>7.2</v>
      </c>
      <c r="C111" t="s">
        <v>8</v>
      </c>
      <c r="D111" t="str">
        <f t="shared" si="3"/>
        <v>Nie</v>
      </c>
    </row>
    <row r="112" spans="1:10" x14ac:dyDescent="0.5">
      <c r="A112">
        <v>111</v>
      </c>
      <c r="B112">
        <v>6.5</v>
      </c>
      <c r="C112" t="s">
        <v>8</v>
      </c>
      <c r="D112" t="str">
        <f t="shared" si="3"/>
        <v>Nie</v>
      </c>
    </row>
    <row r="113" spans="1:4" x14ac:dyDescent="0.5">
      <c r="A113">
        <v>112</v>
      </c>
      <c r="B113">
        <v>6.4</v>
      </c>
      <c r="C113" t="s">
        <v>8</v>
      </c>
      <c r="D113" t="str">
        <f t="shared" si="3"/>
        <v>Nie</v>
      </c>
    </row>
    <row r="114" spans="1:4" x14ac:dyDescent="0.5">
      <c r="A114">
        <v>113</v>
      </c>
      <c r="B114">
        <v>6.8</v>
      </c>
      <c r="C114" t="s">
        <v>8</v>
      </c>
      <c r="D114" t="str">
        <f t="shared" si="3"/>
        <v>Nie</v>
      </c>
    </row>
    <row r="115" spans="1:4" x14ac:dyDescent="0.5">
      <c r="A115">
        <v>114</v>
      </c>
      <c r="B115">
        <v>5.7</v>
      </c>
      <c r="C115" t="s">
        <v>8</v>
      </c>
      <c r="D115" t="str">
        <f t="shared" si="3"/>
        <v>Nie</v>
      </c>
    </row>
    <row r="116" spans="1:4" x14ac:dyDescent="0.5">
      <c r="A116">
        <v>115</v>
      </c>
      <c r="B116">
        <v>5.8</v>
      </c>
      <c r="C116" t="s">
        <v>8</v>
      </c>
      <c r="D116" t="str">
        <f t="shared" si="3"/>
        <v>Nie</v>
      </c>
    </row>
    <row r="117" spans="1:4" x14ac:dyDescent="0.5">
      <c r="A117">
        <v>116</v>
      </c>
      <c r="B117">
        <v>6.4</v>
      </c>
      <c r="C117" t="s">
        <v>8</v>
      </c>
      <c r="D117" t="str">
        <f t="shared" si="3"/>
        <v>Nie</v>
      </c>
    </row>
    <row r="118" spans="1:4" x14ac:dyDescent="0.5">
      <c r="A118">
        <v>117</v>
      </c>
      <c r="B118">
        <v>6.5</v>
      </c>
      <c r="C118" t="s">
        <v>8</v>
      </c>
      <c r="D118" t="str">
        <f t="shared" si="3"/>
        <v>Nie</v>
      </c>
    </row>
    <row r="119" spans="1:4" x14ac:dyDescent="0.5">
      <c r="A119">
        <v>118</v>
      </c>
      <c r="B119">
        <v>7.7</v>
      </c>
      <c r="C119" t="s">
        <v>8</v>
      </c>
      <c r="D119" t="str">
        <f t="shared" si="3"/>
        <v>Nie</v>
      </c>
    </row>
    <row r="120" spans="1:4" x14ac:dyDescent="0.5">
      <c r="A120">
        <v>119</v>
      </c>
      <c r="B120">
        <v>7.7</v>
      </c>
      <c r="C120" t="s">
        <v>8</v>
      </c>
      <c r="D120" t="str">
        <f t="shared" si="3"/>
        <v>Nie</v>
      </c>
    </row>
    <row r="121" spans="1:4" x14ac:dyDescent="0.5">
      <c r="A121">
        <v>120</v>
      </c>
      <c r="B121">
        <v>6</v>
      </c>
      <c r="C121" t="s">
        <v>8</v>
      </c>
      <c r="D121" t="str">
        <f t="shared" si="3"/>
        <v>Nie</v>
      </c>
    </row>
    <row r="122" spans="1:4" x14ac:dyDescent="0.5">
      <c r="A122">
        <v>121</v>
      </c>
      <c r="B122">
        <v>6.9</v>
      </c>
      <c r="C122" t="s">
        <v>8</v>
      </c>
      <c r="D122" t="str">
        <f t="shared" si="3"/>
        <v>Nie</v>
      </c>
    </row>
    <row r="123" spans="1:4" x14ac:dyDescent="0.5">
      <c r="A123">
        <v>122</v>
      </c>
      <c r="B123">
        <v>5.6</v>
      </c>
      <c r="C123" t="s">
        <v>8</v>
      </c>
      <c r="D123" t="str">
        <f t="shared" si="3"/>
        <v>Nie</v>
      </c>
    </row>
    <row r="124" spans="1:4" x14ac:dyDescent="0.5">
      <c r="A124">
        <v>123</v>
      </c>
      <c r="B124">
        <v>7.7</v>
      </c>
      <c r="C124" t="s">
        <v>8</v>
      </c>
      <c r="D124" t="str">
        <f t="shared" si="3"/>
        <v>Nie</v>
      </c>
    </row>
    <row r="125" spans="1:4" x14ac:dyDescent="0.5">
      <c r="A125">
        <v>124</v>
      </c>
      <c r="B125">
        <v>6.3</v>
      </c>
      <c r="C125" t="s">
        <v>8</v>
      </c>
      <c r="D125" t="str">
        <f t="shared" si="3"/>
        <v>Nie</v>
      </c>
    </row>
    <row r="126" spans="1:4" x14ac:dyDescent="0.5">
      <c r="A126">
        <v>125</v>
      </c>
      <c r="B126">
        <v>6.7</v>
      </c>
      <c r="C126" t="s">
        <v>8</v>
      </c>
      <c r="D126" t="str">
        <f t="shared" si="3"/>
        <v>Nie</v>
      </c>
    </row>
    <row r="127" spans="1:4" x14ac:dyDescent="0.5">
      <c r="A127">
        <v>126</v>
      </c>
      <c r="B127">
        <v>7.2</v>
      </c>
      <c r="C127" t="s">
        <v>8</v>
      </c>
      <c r="D127" t="str">
        <f t="shared" si="3"/>
        <v>Nie</v>
      </c>
    </row>
    <row r="128" spans="1:4" x14ac:dyDescent="0.5">
      <c r="A128">
        <v>127</v>
      </c>
      <c r="B128">
        <v>6.2</v>
      </c>
      <c r="C128" t="s">
        <v>8</v>
      </c>
      <c r="D128" t="str">
        <f t="shared" si="3"/>
        <v>Nie</v>
      </c>
    </row>
    <row r="129" spans="1:4" x14ac:dyDescent="0.5">
      <c r="A129">
        <v>128</v>
      </c>
      <c r="B129">
        <v>6.1</v>
      </c>
      <c r="C129" t="s">
        <v>8</v>
      </c>
      <c r="D129" t="str">
        <f t="shared" si="3"/>
        <v>Nie</v>
      </c>
    </row>
    <row r="130" spans="1:4" x14ac:dyDescent="0.5">
      <c r="A130">
        <v>129</v>
      </c>
      <c r="B130">
        <v>6.4</v>
      </c>
      <c r="C130" t="s">
        <v>8</v>
      </c>
      <c r="D130" t="str">
        <f t="shared" ref="D130:D151" si="4">IF(B130&lt;$J$107, "Odstająca", IF(B130&gt;$J$108, "Odstająca", "Nie"))</f>
        <v>Nie</v>
      </c>
    </row>
    <row r="131" spans="1:4" x14ac:dyDescent="0.5">
      <c r="A131">
        <v>130</v>
      </c>
      <c r="B131">
        <v>7.2</v>
      </c>
      <c r="C131" t="s">
        <v>8</v>
      </c>
      <c r="D131" t="str">
        <f t="shared" si="4"/>
        <v>Nie</v>
      </c>
    </row>
    <row r="132" spans="1:4" x14ac:dyDescent="0.5">
      <c r="A132">
        <v>131</v>
      </c>
      <c r="B132">
        <v>7.4</v>
      </c>
      <c r="C132" t="s">
        <v>8</v>
      </c>
      <c r="D132" t="str">
        <f t="shared" si="4"/>
        <v>Nie</v>
      </c>
    </row>
    <row r="133" spans="1:4" x14ac:dyDescent="0.5">
      <c r="A133">
        <v>132</v>
      </c>
      <c r="B133">
        <v>7.9</v>
      </c>
      <c r="C133" t="s">
        <v>8</v>
      </c>
      <c r="D133" t="str">
        <f t="shared" si="4"/>
        <v>Nie</v>
      </c>
    </row>
    <row r="134" spans="1:4" x14ac:dyDescent="0.5">
      <c r="A134">
        <v>133</v>
      </c>
      <c r="B134">
        <v>6.4</v>
      </c>
      <c r="C134" t="s">
        <v>8</v>
      </c>
      <c r="D134" t="str">
        <f t="shared" si="4"/>
        <v>Nie</v>
      </c>
    </row>
    <row r="135" spans="1:4" x14ac:dyDescent="0.5">
      <c r="A135">
        <v>134</v>
      </c>
      <c r="B135">
        <v>6.3</v>
      </c>
      <c r="C135" t="s">
        <v>8</v>
      </c>
      <c r="D135" t="str">
        <f t="shared" si="4"/>
        <v>Nie</v>
      </c>
    </row>
    <row r="136" spans="1:4" x14ac:dyDescent="0.5">
      <c r="A136">
        <v>135</v>
      </c>
      <c r="B136">
        <v>6.1</v>
      </c>
      <c r="C136" t="s">
        <v>8</v>
      </c>
      <c r="D136" t="str">
        <f t="shared" si="4"/>
        <v>Nie</v>
      </c>
    </row>
    <row r="137" spans="1:4" x14ac:dyDescent="0.5">
      <c r="A137">
        <v>136</v>
      </c>
      <c r="B137">
        <v>7.7</v>
      </c>
      <c r="C137" t="s">
        <v>8</v>
      </c>
      <c r="D137" t="str">
        <f t="shared" si="4"/>
        <v>Nie</v>
      </c>
    </row>
    <row r="138" spans="1:4" x14ac:dyDescent="0.5">
      <c r="A138">
        <v>137</v>
      </c>
      <c r="B138">
        <v>6.3</v>
      </c>
      <c r="C138" t="s">
        <v>8</v>
      </c>
      <c r="D138" t="str">
        <f t="shared" si="4"/>
        <v>Nie</v>
      </c>
    </row>
    <row r="139" spans="1:4" x14ac:dyDescent="0.5">
      <c r="A139">
        <v>138</v>
      </c>
      <c r="B139">
        <v>6.4</v>
      </c>
      <c r="C139" t="s">
        <v>8</v>
      </c>
      <c r="D139" t="str">
        <f t="shared" si="4"/>
        <v>Nie</v>
      </c>
    </row>
    <row r="140" spans="1:4" x14ac:dyDescent="0.5">
      <c r="A140">
        <v>139</v>
      </c>
      <c r="B140">
        <v>6</v>
      </c>
      <c r="C140" t="s">
        <v>8</v>
      </c>
      <c r="D140" t="str">
        <f t="shared" si="4"/>
        <v>Nie</v>
      </c>
    </row>
    <row r="141" spans="1:4" x14ac:dyDescent="0.5">
      <c r="A141">
        <v>140</v>
      </c>
      <c r="B141">
        <v>6.9</v>
      </c>
      <c r="C141" t="s">
        <v>8</v>
      </c>
      <c r="D141" t="str">
        <f t="shared" si="4"/>
        <v>Nie</v>
      </c>
    </row>
    <row r="142" spans="1:4" x14ac:dyDescent="0.5">
      <c r="A142">
        <v>141</v>
      </c>
      <c r="B142">
        <v>6.7</v>
      </c>
      <c r="C142" t="s">
        <v>8</v>
      </c>
      <c r="D142" t="str">
        <f t="shared" si="4"/>
        <v>Nie</v>
      </c>
    </row>
    <row r="143" spans="1:4" x14ac:dyDescent="0.5">
      <c r="A143">
        <v>142</v>
      </c>
      <c r="B143">
        <v>6.9</v>
      </c>
      <c r="C143" t="s">
        <v>8</v>
      </c>
      <c r="D143" t="str">
        <f t="shared" si="4"/>
        <v>Nie</v>
      </c>
    </row>
    <row r="144" spans="1:4" x14ac:dyDescent="0.5">
      <c r="A144">
        <v>143</v>
      </c>
      <c r="B144">
        <v>5.8</v>
      </c>
      <c r="C144" t="s">
        <v>8</v>
      </c>
      <c r="D144" t="str">
        <f t="shared" si="4"/>
        <v>Nie</v>
      </c>
    </row>
    <row r="145" spans="1:4" x14ac:dyDescent="0.5">
      <c r="A145">
        <v>144</v>
      </c>
      <c r="B145">
        <v>6.8</v>
      </c>
      <c r="C145" t="s">
        <v>8</v>
      </c>
      <c r="D145" t="str">
        <f t="shared" si="4"/>
        <v>Nie</v>
      </c>
    </row>
    <row r="146" spans="1:4" x14ac:dyDescent="0.5">
      <c r="A146">
        <v>145</v>
      </c>
      <c r="B146">
        <v>6.7</v>
      </c>
      <c r="C146" t="s">
        <v>8</v>
      </c>
      <c r="D146" t="str">
        <f t="shared" si="4"/>
        <v>Nie</v>
      </c>
    </row>
    <row r="147" spans="1:4" x14ac:dyDescent="0.5">
      <c r="A147">
        <v>146</v>
      </c>
      <c r="B147">
        <v>6.7</v>
      </c>
      <c r="C147" t="s">
        <v>8</v>
      </c>
      <c r="D147" t="str">
        <f t="shared" si="4"/>
        <v>Nie</v>
      </c>
    </row>
    <row r="148" spans="1:4" x14ac:dyDescent="0.5">
      <c r="A148">
        <v>147</v>
      </c>
      <c r="B148">
        <v>6.3</v>
      </c>
      <c r="C148" t="s">
        <v>8</v>
      </c>
      <c r="D148" t="str">
        <f t="shared" si="4"/>
        <v>Nie</v>
      </c>
    </row>
    <row r="149" spans="1:4" x14ac:dyDescent="0.5">
      <c r="A149">
        <v>148</v>
      </c>
      <c r="B149">
        <v>6.5</v>
      </c>
      <c r="C149" t="s">
        <v>8</v>
      </c>
      <c r="D149" t="str">
        <f t="shared" si="4"/>
        <v>Nie</v>
      </c>
    </row>
    <row r="150" spans="1:4" x14ac:dyDescent="0.5">
      <c r="A150">
        <v>149</v>
      </c>
      <c r="B150">
        <v>6.2</v>
      </c>
      <c r="C150" t="s">
        <v>8</v>
      </c>
      <c r="D150" t="str">
        <f t="shared" si="4"/>
        <v>Nie</v>
      </c>
    </row>
    <row r="151" spans="1:4" x14ac:dyDescent="0.5">
      <c r="A151">
        <v>150</v>
      </c>
      <c r="B151">
        <v>5.9</v>
      </c>
      <c r="C151" t="s">
        <v>8</v>
      </c>
      <c r="D151" t="str">
        <f t="shared" si="4"/>
        <v>Nie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CA0C8C-C550-43FE-8A7D-783C79899B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iris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Kania</dc:creator>
  <cp:lastModifiedBy>Gabriel Kania</cp:lastModifiedBy>
  <dcterms:created xsi:type="dcterms:W3CDTF">2025-01-16T19:55:06Z</dcterms:created>
  <dcterms:modified xsi:type="dcterms:W3CDTF">2025-01-17T16:49:06Z</dcterms:modified>
</cp:coreProperties>
</file>